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D:\Dropbox\Lavoro\Macros_XLS\"/>
    </mc:Choice>
  </mc:AlternateContent>
  <xr:revisionPtr revIDLastSave="0" documentId="13_ncr:1_{AFD9BEC4-ABD2-4B3D-91A3-868321EE23F4}" xr6:coauthVersionLast="47" xr6:coauthVersionMax="47" xr10:uidLastSave="{00000000-0000-0000-0000-000000000000}"/>
  <bookViews>
    <workbookView xWindow="-120" yWindow="-120" windowWidth="29040" windowHeight="15720" xr2:uid="{7A75AC04-B2C9-4082-B914-80FF5D02EA1B}"/>
  </bookViews>
  <sheets>
    <sheet name="Paroliamo" sheetId="1" r:id="rId1"/>
    <sheet name="About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1" l="1"/>
  <c r="C2" i="1"/>
  <c r="C18" i="1" l="1"/>
  <c r="AN8" i="1"/>
  <c r="AM8" i="1"/>
  <c r="AL8" i="1"/>
  <c r="AK8" i="1"/>
  <c r="L27" i="1"/>
  <c r="I27" i="1"/>
  <c r="F27" i="1"/>
  <c r="C27" i="1"/>
  <c r="C11" i="1"/>
  <c r="F11" i="1"/>
  <c r="I11" i="1"/>
  <c r="L11" i="1"/>
  <c r="C12" i="1"/>
  <c r="F12" i="1"/>
  <c r="I12" i="1"/>
  <c r="L12" i="1"/>
  <c r="C13" i="1"/>
  <c r="F13" i="1"/>
  <c r="I13" i="1"/>
  <c r="L13" i="1"/>
  <c r="C14" i="1"/>
  <c r="F14" i="1"/>
  <c r="I14" i="1"/>
  <c r="L14" i="1"/>
  <c r="C15" i="1"/>
  <c r="F15" i="1"/>
  <c r="I15" i="1"/>
  <c r="L15" i="1"/>
  <c r="C16" i="1"/>
  <c r="F16" i="1"/>
  <c r="I16" i="1"/>
  <c r="L16" i="1"/>
  <c r="C17" i="1"/>
  <c r="F17" i="1"/>
  <c r="I17" i="1"/>
  <c r="L17" i="1"/>
  <c r="F18" i="1"/>
  <c r="I18" i="1"/>
  <c r="L18" i="1"/>
  <c r="C19" i="1"/>
  <c r="F19" i="1"/>
  <c r="I19" i="1"/>
  <c r="L19" i="1"/>
  <c r="C20" i="1"/>
  <c r="F20" i="1"/>
  <c r="I20" i="1"/>
  <c r="L20" i="1"/>
  <c r="C21" i="1"/>
  <c r="F21" i="1"/>
  <c r="I21" i="1"/>
  <c r="L21" i="1"/>
  <c r="C22" i="1"/>
  <c r="F22" i="1"/>
  <c r="I22" i="1"/>
  <c r="L22" i="1"/>
  <c r="C23" i="1"/>
  <c r="F23" i="1"/>
  <c r="I23" i="1"/>
  <c r="L23" i="1"/>
  <c r="C24" i="1"/>
  <c r="F24" i="1"/>
  <c r="I24" i="1"/>
  <c r="L24" i="1"/>
  <c r="C25" i="1"/>
  <c r="F25" i="1"/>
  <c r="I25" i="1"/>
  <c r="L25" i="1"/>
  <c r="C26" i="1"/>
  <c r="F26" i="1"/>
  <c r="I26" i="1"/>
  <c r="L26" i="1"/>
  <c r="L10" i="1"/>
  <c r="I10" i="1"/>
  <c r="F10" i="1"/>
  <c r="C10" i="1"/>
  <c r="AK10" i="1" s="1"/>
  <c r="L9" i="1"/>
  <c r="I9" i="1"/>
  <c r="F9" i="1"/>
  <c r="N31" i="1"/>
  <c r="S31" i="1" s="1"/>
  <c r="N30" i="1"/>
  <c r="S30" i="1" s="1"/>
  <c r="N29" i="1"/>
  <c r="S29" i="1" s="1"/>
  <c r="N28" i="1"/>
  <c r="S28" i="1" s="1"/>
  <c r="Z22" i="1"/>
  <c r="Z23" i="1" s="1"/>
  <c r="Z24" i="1" s="1"/>
  <c r="Z25" i="1" s="1"/>
  <c r="Z20" i="1"/>
  <c r="O20" i="1"/>
  <c r="Z4" i="1"/>
  <c r="Z5" i="1" s="1"/>
  <c r="Z6" i="1" s="1"/>
  <c r="Z7" i="1" s="1"/>
  <c r="Z8" i="1" s="1"/>
  <c r="Z9" i="1" s="1"/>
  <c r="Z10" i="1" s="1"/>
  <c r="Z11" i="1" s="1"/>
  <c r="Z12" i="1" s="1"/>
  <c r="Z13" i="1" s="1"/>
  <c r="Z14" i="1" s="1"/>
  <c r="Z15" i="1" s="1"/>
  <c r="Z16" i="1" s="1"/>
  <c r="Z17" i="1" s="1"/>
  <c r="Z18" i="1" s="1"/>
  <c r="L3" i="1"/>
  <c r="C3" i="1"/>
  <c r="O2" i="1"/>
  <c r="Z2" i="1" s="1"/>
  <c r="L2" i="1"/>
  <c r="P13" i="1"/>
  <c r="AN17" i="1" l="1"/>
  <c r="AN10" i="1"/>
  <c r="AN25" i="1"/>
  <c r="AN22" i="1"/>
  <c r="AN27" i="1"/>
  <c r="AN14" i="1"/>
  <c r="AN11" i="1"/>
  <c r="AM10" i="1"/>
  <c r="AM20" i="1"/>
  <c r="AM22" i="1"/>
  <c r="AM16" i="1"/>
  <c r="AM9" i="1"/>
  <c r="AM13" i="1"/>
  <c r="AM27" i="1"/>
  <c r="AM11" i="1"/>
  <c r="AK19" i="1"/>
  <c r="AK27" i="1"/>
  <c r="AK23" i="1"/>
  <c r="AK15" i="1"/>
  <c r="AK11" i="1"/>
  <c r="AN24" i="1"/>
  <c r="AN19" i="1"/>
  <c r="AN16" i="1"/>
  <c r="AN13" i="1"/>
  <c r="AN23" i="1"/>
  <c r="AN21" i="1"/>
  <c r="AN15" i="1"/>
  <c r="AN9" i="1"/>
  <c r="AN26" i="1"/>
  <c r="AN20" i="1"/>
  <c r="AN18" i="1"/>
  <c r="AN12" i="1"/>
  <c r="AM25" i="1"/>
  <c r="AM18" i="1"/>
  <c r="AM21" i="1"/>
  <c r="AM19" i="1"/>
  <c r="AM14" i="1"/>
  <c r="AM12" i="1"/>
  <c r="AM23" i="1"/>
  <c r="AM26" i="1"/>
  <c r="AM24" i="1"/>
  <c r="AM17" i="1"/>
  <c r="AM15" i="1"/>
  <c r="AK24" i="1"/>
  <c r="AK20" i="1"/>
  <c r="AK16" i="1"/>
  <c r="AK12" i="1"/>
  <c r="AK25" i="1"/>
  <c r="AK21" i="1"/>
  <c r="AK17" i="1"/>
  <c r="AK13" i="1"/>
  <c r="AK9" i="1"/>
  <c r="AK26" i="1"/>
  <c r="AK22" i="1"/>
  <c r="AK18" i="1"/>
  <c r="AK14" i="1"/>
  <c r="AL11" i="1"/>
  <c r="AL9" i="1"/>
  <c r="AL27" i="1"/>
  <c r="AL25" i="1"/>
  <c r="AL23" i="1"/>
  <c r="AL21" i="1"/>
  <c r="AL19" i="1"/>
  <c r="AL17" i="1"/>
  <c r="AL15" i="1"/>
  <c r="AL13" i="1"/>
  <c r="AL12" i="1"/>
  <c r="AL10" i="1"/>
  <c r="AL26" i="1"/>
  <c r="AL24" i="1"/>
  <c r="AL22" i="1"/>
  <c r="AL20" i="1"/>
  <c r="AL18" i="1"/>
  <c r="AL16" i="1"/>
  <c r="AL14" i="1"/>
  <c r="H8" i="1"/>
  <c r="O30" i="1" s="1"/>
  <c r="B8" i="1"/>
  <c r="O28" i="1" s="1"/>
  <c r="K8" i="1"/>
  <c r="O31" i="1" s="1"/>
  <c r="E8" i="1"/>
  <c r="O29" i="1" s="1"/>
  <c r="P4" i="1"/>
  <c r="P5" i="1"/>
  <c r="P8" i="1"/>
  <c r="P3" i="1"/>
  <c r="AA4" i="1" s="1"/>
  <c r="P7" i="1"/>
  <c r="P10" i="1"/>
  <c r="P18" i="1"/>
  <c r="P23" i="1"/>
  <c r="P21" i="1"/>
  <c r="P24" i="1"/>
  <c r="P22" i="1"/>
  <c r="P15" i="1"/>
  <c r="P11" i="1"/>
  <c r="P16" i="1"/>
  <c r="P12" i="1"/>
  <c r="P6" i="1"/>
  <c r="P14" i="1"/>
  <c r="P25" i="1"/>
  <c r="P9" i="1"/>
  <c r="P17" i="1"/>
  <c r="O27" i="1" l="1"/>
  <c r="P30" i="1" s="1"/>
  <c r="AA5" i="1"/>
  <c r="AA6" i="1" s="1"/>
  <c r="AA7" i="1" s="1"/>
  <c r="AA8" i="1" s="1"/>
  <c r="AA9" i="1" s="1"/>
  <c r="AA10" i="1" s="1"/>
  <c r="AA22" i="1"/>
  <c r="AA23" i="1" s="1"/>
  <c r="P20" i="1"/>
  <c r="AA20" i="1" s="1"/>
  <c r="P2" i="1"/>
  <c r="AA2" i="1" s="1"/>
  <c r="P29" i="1" l="1"/>
  <c r="P28" i="1"/>
  <c r="P31" i="1"/>
  <c r="AA24" i="1"/>
  <c r="AA25" i="1" s="1"/>
  <c r="AA11" i="1"/>
  <c r="AA12" i="1" s="1"/>
  <c r="AA13" i="1" s="1"/>
  <c r="AA14" i="1" s="1"/>
  <c r="AA15" i="1" s="1"/>
  <c r="AA16" i="1" s="1"/>
  <c r="AA17" i="1" s="1"/>
  <c r="AA18" i="1" s="1"/>
  <c r="P27" i="1" l="1"/>
  <c r="Q30" i="1" s="1"/>
  <c r="D2" i="1"/>
  <c r="Q4" i="1" s="1"/>
  <c r="D3" i="1"/>
  <c r="Q25" i="1" s="1"/>
  <c r="Q28" i="1" l="1"/>
  <c r="Q29" i="1"/>
  <c r="Q31" i="1"/>
  <c r="Q16" i="1"/>
  <c r="Q14" i="1"/>
  <c r="Q13" i="1"/>
  <c r="Q5" i="1"/>
  <c r="Q12" i="1"/>
  <c r="Q9" i="1"/>
  <c r="Q8" i="1"/>
  <c r="Q3" i="1"/>
  <c r="AB4" i="1" s="1"/>
  <c r="AB5" i="1" s="1"/>
  <c r="Q15" i="1"/>
  <c r="Q11" i="1"/>
  <c r="Q7" i="1"/>
  <c r="Q10" i="1"/>
  <c r="Q6" i="1"/>
  <c r="Q17" i="1"/>
  <c r="Q18" i="1"/>
  <c r="Q23" i="1"/>
  <c r="Q21" i="1"/>
  <c r="AB22" i="1" s="1"/>
  <c r="Q22" i="1"/>
  <c r="Q24" i="1"/>
  <c r="Q27" i="1" l="1"/>
  <c r="R28" i="1" s="1"/>
  <c r="T28" i="1" s="1"/>
  <c r="C8" i="1" s="1"/>
  <c r="AB6" i="1"/>
  <c r="AB7" i="1" s="1"/>
  <c r="AB8" i="1" s="1"/>
  <c r="AB9" i="1" s="1"/>
  <c r="AB10" i="1" s="1"/>
  <c r="Q2" i="1"/>
  <c r="AB2" i="1" s="1"/>
  <c r="AB23" i="1"/>
  <c r="AB24" i="1" s="1"/>
  <c r="AB25" i="1" s="1"/>
  <c r="Q20" i="1"/>
  <c r="AB20" i="1" s="1"/>
  <c r="R29" i="1" l="1"/>
  <c r="T29" i="1" s="1"/>
  <c r="F8" i="1" s="1"/>
  <c r="R30" i="1"/>
  <c r="T30" i="1" s="1"/>
  <c r="I8" i="1" s="1"/>
  <c r="R31" i="1"/>
  <c r="T31" i="1" s="1"/>
  <c r="L8" i="1" s="1"/>
  <c r="AB11" i="1"/>
  <c r="AB12" i="1" s="1"/>
  <c r="AB13" i="1" s="1"/>
  <c r="AB14" i="1" s="1"/>
  <c r="AB15" i="1" s="1"/>
  <c r="AB16" i="1" s="1"/>
  <c r="AB17" i="1" s="1"/>
  <c r="AB18" i="1" s="1"/>
  <c r="E3" i="1"/>
  <c r="R27" i="1" l="1"/>
  <c r="E2" i="1"/>
  <c r="R18" i="1" s="1"/>
  <c r="R25" i="1"/>
  <c r="R23" i="1"/>
  <c r="R22" i="1"/>
  <c r="R24" i="1"/>
  <c r="R21" i="1"/>
  <c r="R10" i="1" l="1"/>
  <c r="R13" i="1"/>
  <c r="R17" i="1"/>
  <c r="R14" i="1"/>
  <c r="R7" i="1"/>
  <c r="R5" i="1"/>
  <c r="R3" i="1"/>
  <c r="R6" i="1"/>
  <c r="R16" i="1"/>
  <c r="R15" i="1"/>
  <c r="R8" i="1"/>
  <c r="R11" i="1"/>
  <c r="R4" i="1"/>
  <c r="R12" i="1"/>
  <c r="R9" i="1"/>
  <c r="R20" i="1"/>
  <c r="AC20" i="1" s="1"/>
  <c r="AC22" i="1"/>
  <c r="AC23" i="1" s="1"/>
  <c r="R2" i="1" l="1"/>
  <c r="AC2" i="1" s="1"/>
  <c r="AC4" i="1"/>
  <c r="AC5" i="1" s="1"/>
  <c r="AC6" i="1" s="1"/>
  <c r="AC7" i="1" s="1"/>
  <c r="AC8" i="1" s="1"/>
  <c r="AC9" i="1" s="1"/>
  <c r="AC10" i="1" s="1"/>
  <c r="AC24" i="1"/>
  <c r="AC25" i="1" s="1"/>
  <c r="AC11" i="1" l="1"/>
  <c r="AC12" i="1" s="1"/>
  <c r="AC13" i="1" s="1"/>
  <c r="AC14" i="1" s="1"/>
  <c r="AC15" i="1" s="1"/>
  <c r="AC16" i="1" s="1"/>
  <c r="AC17" i="1" s="1"/>
  <c r="AC18" i="1" s="1"/>
  <c r="F3" i="1"/>
  <c r="F2" i="1" l="1"/>
  <c r="S18" i="1" s="1"/>
  <c r="S24" i="1"/>
  <c r="S23" i="1"/>
  <c r="S21" i="1"/>
  <c r="S22" i="1"/>
  <c r="S25" i="1"/>
  <c r="S10" i="1" l="1"/>
  <c r="S7" i="1"/>
  <c r="S12" i="1"/>
  <c r="S4" i="1"/>
  <c r="S16" i="1"/>
  <c r="S15" i="1"/>
  <c r="S9" i="1"/>
  <c r="S17" i="1"/>
  <c r="S13" i="1"/>
  <c r="S5" i="1"/>
  <c r="S3" i="1"/>
  <c r="AD4" i="1" s="1"/>
  <c r="S8" i="1"/>
  <c r="S14" i="1"/>
  <c r="S11" i="1"/>
  <c r="S6" i="1"/>
  <c r="AD22" i="1"/>
  <c r="AD23" i="1" s="1"/>
  <c r="S20" i="1"/>
  <c r="AD20" i="1" s="1"/>
  <c r="AD5" i="1" l="1"/>
  <c r="AD6" i="1" s="1"/>
  <c r="AD7" i="1" s="1"/>
  <c r="AD8" i="1" s="1"/>
  <c r="AD9" i="1" s="1"/>
  <c r="AD10" i="1" s="1"/>
  <c r="AD11" i="1" s="1"/>
  <c r="AD12" i="1" s="1"/>
  <c r="AD13" i="1" s="1"/>
  <c r="AD14" i="1" s="1"/>
  <c r="AD15" i="1" s="1"/>
  <c r="AD16" i="1" s="1"/>
  <c r="AD17" i="1" s="1"/>
  <c r="AD18" i="1" s="1"/>
  <c r="S2" i="1"/>
  <c r="AD2" i="1" s="1"/>
  <c r="AD24" i="1"/>
  <c r="AD25" i="1" s="1"/>
  <c r="G3" i="1" l="1"/>
  <c r="T22" i="1" s="1"/>
  <c r="G2" i="1"/>
  <c r="T9" i="1" s="1"/>
  <c r="T23" i="1" l="1"/>
  <c r="T21" i="1"/>
  <c r="AE22" i="1" s="1"/>
  <c r="AE23" i="1" s="1"/>
  <c r="T25" i="1"/>
  <c r="T24" i="1"/>
  <c r="T18" i="1"/>
  <c r="T17" i="1"/>
  <c r="T3" i="1"/>
  <c r="T13" i="1"/>
  <c r="T15" i="1"/>
  <c r="T8" i="1"/>
  <c r="T6" i="1"/>
  <c r="T10" i="1"/>
  <c r="T5" i="1"/>
  <c r="T11" i="1"/>
  <c r="T14" i="1"/>
  <c r="T7" i="1"/>
  <c r="T12" i="1"/>
  <c r="T16" i="1"/>
  <c r="T4" i="1"/>
  <c r="T20" i="1" l="1"/>
  <c r="AE20" i="1" s="1"/>
  <c r="AE4" i="1"/>
  <c r="AE5" i="1" s="1"/>
  <c r="AE6" i="1" s="1"/>
  <c r="AE7" i="1" s="1"/>
  <c r="AE8" i="1" s="1"/>
  <c r="AE9" i="1" s="1"/>
  <c r="AE10" i="1" s="1"/>
  <c r="T2" i="1"/>
  <c r="AE2" i="1" s="1"/>
  <c r="AE24" i="1"/>
  <c r="AE25" i="1" s="1"/>
  <c r="AE11" i="1" l="1"/>
  <c r="AE12" i="1" s="1"/>
  <c r="AE13" i="1" s="1"/>
  <c r="AE14" i="1" s="1"/>
  <c r="AE15" i="1" s="1"/>
  <c r="AE16" i="1" s="1"/>
  <c r="AE17" i="1" s="1"/>
  <c r="AE18" i="1" s="1"/>
  <c r="H3" i="1"/>
  <c r="U21" i="1" s="1"/>
  <c r="H2" i="1" l="1"/>
  <c r="U9" i="1" s="1"/>
  <c r="U24" i="1"/>
  <c r="U23" i="1"/>
  <c r="U22" i="1"/>
  <c r="U25" i="1"/>
  <c r="AF22" i="1"/>
  <c r="U11" i="1" l="1"/>
  <c r="U6" i="1"/>
  <c r="U13" i="1"/>
  <c r="U5" i="1"/>
  <c r="U16" i="1"/>
  <c r="U17" i="1"/>
  <c r="U4" i="1"/>
  <c r="U10" i="1"/>
  <c r="U8" i="1"/>
  <c r="U14" i="1"/>
  <c r="U3" i="1"/>
  <c r="U15" i="1"/>
  <c r="U12" i="1"/>
  <c r="U18" i="1"/>
  <c r="U7" i="1"/>
  <c r="U20" i="1"/>
  <c r="AF20" i="1" s="1"/>
  <c r="AF23" i="1"/>
  <c r="AF24" i="1" s="1"/>
  <c r="AF25" i="1" s="1"/>
  <c r="U2" i="1" l="1"/>
  <c r="AF2" i="1" s="1"/>
  <c r="AF4" i="1"/>
  <c r="AF5" i="1" s="1"/>
  <c r="AF6" i="1" s="1"/>
  <c r="AF7" i="1" s="1"/>
  <c r="AF8" i="1" s="1"/>
  <c r="AF9" i="1" s="1"/>
  <c r="AF10" i="1" s="1"/>
  <c r="I3" i="1"/>
  <c r="V25" i="1" s="1"/>
  <c r="AF11" i="1" l="1"/>
  <c r="AF12" i="1" s="1"/>
  <c r="AF13" i="1" s="1"/>
  <c r="AF14" i="1" s="1"/>
  <c r="AF15" i="1" s="1"/>
  <c r="AF16" i="1" s="1"/>
  <c r="AF17" i="1" s="1"/>
  <c r="AF18" i="1" s="1"/>
  <c r="V22" i="1"/>
  <c r="V24" i="1"/>
  <c r="V21" i="1"/>
  <c r="AG22" i="1" s="1"/>
  <c r="V23" i="1"/>
  <c r="I2" i="1" l="1"/>
  <c r="V9" i="1" s="1"/>
  <c r="AG23" i="1"/>
  <c r="V20" i="1"/>
  <c r="AG20" i="1" s="1"/>
  <c r="V6" i="1" l="1"/>
  <c r="V17" i="1"/>
  <c r="V3" i="1"/>
  <c r="V8" i="1"/>
  <c r="V5" i="1"/>
  <c r="V12" i="1"/>
  <c r="V14" i="1"/>
  <c r="V7" i="1"/>
  <c r="V11" i="1"/>
  <c r="V10" i="1"/>
  <c r="V13" i="1"/>
  <c r="V4" i="1"/>
  <c r="V18" i="1"/>
  <c r="V16" i="1"/>
  <c r="V15" i="1"/>
  <c r="AG24" i="1"/>
  <c r="AG25" i="1" s="1"/>
  <c r="AG4" i="1" l="1"/>
  <c r="AG5" i="1" s="1"/>
  <c r="AG6" i="1" s="1"/>
  <c r="AG7" i="1" s="1"/>
  <c r="AG8" i="1" s="1"/>
  <c r="AG9" i="1" s="1"/>
  <c r="AG10" i="1" s="1"/>
  <c r="V2" i="1"/>
  <c r="AG2" i="1" s="1"/>
  <c r="J3" i="1"/>
  <c r="W22" i="1" s="1"/>
  <c r="AG11" i="1" l="1"/>
  <c r="AG12" i="1" s="1"/>
  <c r="AG13" i="1" s="1"/>
  <c r="AG14" i="1" s="1"/>
  <c r="AG15" i="1" s="1"/>
  <c r="AG16" i="1" s="1"/>
  <c r="AG17" i="1" s="1"/>
  <c r="AG18" i="1" s="1"/>
  <c r="J2" i="1"/>
  <c r="W24" i="1"/>
  <c r="W25" i="1"/>
  <c r="W21" i="1"/>
  <c r="AH22" i="1" s="1"/>
  <c r="AH23" i="1" s="1"/>
  <c r="W23" i="1"/>
  <c r="W9" i="1" l="1"/>
  <c r="W13" i="1"/>
  <c r="W16" i="1"/>
  <c r="W18" i="1"/>
  <c r="W14" i="1"/>
  <c r="W12" i="1"/>
  <c r="W11" i="1"/>
  <c r="W8" i="1"/>
  <c r="W3" i="1"/>
  <c r="W17" i="1"/>
  <c r="W5" i="1"/>
  <c r="W10" i="1"/>
  <c r="W15" i="1"/>
  <c r="W4" i="1"/>
  <c r="W7" i="1"/>
  <c r="W6" i="1"/>
  <c r="AH24" i="1"/>
  <c r="AH25" i="1" s="1"/>
  <c r="W20" i="1"/>
  <c r="AH20" i="1" s="1"/>
  <c r="W2" i="1" l="1"/>
  <c r="AH2" i="1" s="1"/>
  <c r="AH4" i="1"/>
  <c r="AH5" i="1" s="1"/>
  <c r="AH6" i="1" s="1"/>
  <c r="AH7" i="1" s="1"/>
  <c r="AH8" i="1" s="1"/>
  <c r="AH9" i="1" s="1"/>
  <c r="AH10" i="1" s="1"/>
  <c r="K3" i="1"/>
  <c r="AH11" i="1" l="1"/>
  <c r="AH12" i="1" s="1"/>
  <c r="AH13" i="1" s="1"/>
  <c r="AH14" i="1" s="1"/>
  <c r="AH15" i="1" s="1"/>
  <c r="AH16" i="1" s="1"/>
  <c r="AH17" i="1" s="1"/>
  <c r="AH18" i="1" s="1"/>
  <c r="K2" i="1"/>
  <c r="X21" i="1"/>
  <c r="X23" i="1"/>
  <c r="X24" i="1"/>
  <c r="X25" i="1"/>
  <c r="B3" i="1"/>
  <c r="X22" i="1"/>
  <c r="B2" i="1" l="1"/>
  <c r="X6" i="1"/>
  <c r="X11" i="1"/>
  <c r="X13" i="1"/>
  <c r="X18" i="1"/>
  <c r="X16" i="1"/>
  <c r="X15" i="1"/>
  <c r="X10" i="1"/>
  <c r="X7" i="1"/>
  <c r="X17" i="1"/>
  <c r="X9" i="1"/>
  <c r="X4" i="1"/>
  <c r="X14" i="1"/>
  <c r="X5" i="1"/>
  <c r="X12" i="1"/>
  <c r="X8" i="1"/>
  <c r="X3" i="1"/>
  <c r="X20" i="1"/>
  <c r="AI20" i="1" s="1"/>
  <c r="AI22" i="1"/>
  <c r="AI23" i="1" s="1"/>
  <c r="AI24" i="1" s="1"/>
  <c r="AI25" i="1" s="1"/>
  <c r="AI4" i="1" l="1"/>
  <c r="AI5" i="1" s="1"/>
  <c r="AI6" i="1" s="1"/>
  <c r="AI7" i="1" s="1"/>
  <c r="AI8" i="1" s="1"/>
  <c r="AI9" i="1" s="1"/>
  <c r="AI10" i="1" s="1"/>
  <c r="AI11" i="1" s="1"/>
  <c r="AI12" i="1" s="1"/>
  <c r="AI13" i="1" s="1"/>
  <c r="AI14" i="1" s="1"/>
  <c r="AI15" i="1" s="1"/>
  <c r="AI16" i="1" s="1"/>
  <c r="AI17" i="1" s="1"/>
  <c r="AI18" i="1" s="1"/>
  <c r="X2" i="1"/>
  <c r="AI2" i="1" s="1"/>
</calcChain>
</file>

<file path=xl/sharedStrings.xml><?xml version="1.0" encoding="utf-8"?>
<sst xmlns="http://schemas.openxmlformats.org/spreadsheetml/2006/main" count="77" uniqueCount="39">
  <si>
    <t>C o V &gt;&gt;</t>
  </si>
  <si>
    <t>Consonanti</t>
  </si>
  <si>
    <t>Vocali</t>
  </si>
  <si>
    <t>B</t>
  </si>
  <si>
    <t>RND</t>
  </si>
  <si>
    <t>C</t>
  </si>
  <si>
    <t>Nome:</t>
  </si>
  <si>
    <t>Coeff.:</t>
  </si>
  <si>
    <t>D</t>
  </si>
  <si>
    <t>P3</t>
  </si>
  <si>
    <t>P4</t>
  </si>
  <si>
    <t>F</t>
  </si>
  <si>
    <t>Punti</t>
  </si>
  <si>
    <t>Classifica</t>
  </si>
  <si>
    <t>G</t>
  </si>
  <si>
    <t>H</t>
  </si>
  <si>
    <t>L</t>
  </si>
  <si>
    <t>M</t>
  </si>
  <si>
    <t>N</t>
  </si>
  <si>
    <t>P</t>
  </si>
  <si>
    <t>Q</t>
  </si>
  <si>
    <t>R</t>
  </si>
  <si>
    <t>S</t>
  </si>
  <si>
    <t>T</t>
  </si>
  <si>
    <t>V</t>
  </si>
  <si>
    <t>Z</t>
  </si>
  <si>
    <t>A</t>
  </si>
  <si>
    <t>E</t>
  </si>
  <si>
    <t>I</t>
  </si>
  <si>
    <t>O</t>
  </si>
  <si>
    <t>U</t>
  </si>
  <si>
    <t xml:space="preserve">Mastered by </t>
  </si>
  <si>
    <t>Paolo Marconcini</t>
  </si>
  <si>
    <t>Versione</t>
  </si>
  <si>
    <t>P1</t>
  </si>
  <si>
    <t>P2</t>
  </si>
  <si>
    <t xml:space="preserve"> &lt;== Inserisci C o V per scegliere una consonante o una vocale</t>
  </si>
  <si>
    <t xml:space="preserve">  &lt;== Inserisci il nome e il coefficiente di moltiplicazione dei punti per ogni giocatore </t>
  </si>
  <si>
    <t>02 del 20/09/20230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</si>
</sst>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72"/>
      <color theme="1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24"/>
      <color theme="1"/>
      <name val="Calibri"/>
      <family val="2"/>
      <scheme val="minor"/>
    </font>
    <font>
      <sz val="36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59999389629810485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slantDashDot">
        <color indexed="64"/>
      </left>
      <right/>
      <top style="slantDashDot">
        <color indexed="64"/>
      </top>
      <bottom/>
      <diagonal/>
    </border>
    <border>
      <left/>
      <right style="slantDashDot">
        <color indexed="64"/>
      </right>
      <top style="slantDashDot">
        <color indexed="64"/>
      </top>
      <bottom/>
      <diagonal/>
    </border>
    <border>
      <left style="slantDashDot">
        <color indexed="64"/>
      </left>
      <right/>
      <top/>
      <bottom/>
      <diagonal/>
    </border>
    <border>
      <left/>
      <right style="slantDashDot">
        <color indexed="64"/>
      </right>
      <top/>
      <bottom/>
      <diagonal/>
    </border>
    <border>
      <left style="slantDashDot">
        <color indexed="64"/>
      </left>
      <right/>
      <top/>
      <bottom style="slantDashDot">
        <color indexed="64"/>
      </bottom>
      <diagonal/>
    </border>
    <border>
      <left/>
      <right style="slantDashDot">
        <color indexed="64"/>
      </right>
      <top/>
      <bottom style="slantDashDot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2" fillId="3" borderId="1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3" xfId="0" applyFont="1" applyFill="1" applyBorder="1" applyAlignment="1">
      <alignment horizontal="center"/>
    </xf>
    <xf numFmtId="0" fontId="2" fillId="3" borderId="4" xfId="0" applyFont="1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1" fillId="0" borderId="0" xfId="0" applyFont="1"/>
    <xf numFmtId="0" fontId="3" fillId="0" borderId="0" xfId="0" applyFont="1" applyProtection="1">
      <protection locked="0"/>
    </xf>
    <xf numFmtId="0" fontId="4" fillId="4" borderId="7" xfId="0" applyFont="1" applyFill="1" applyBorder="1" applyAlignment="1" applyProtection="1">
      <alignment horizontal="center"/>
      <protection locked="0"/>
    </xf>
    <xf numFmtId="0" fontId="4" fillId="4" borderId="8" xfId="0" applyFont="1" applyFill="1" applyBorder="1" applyAlignment="1" applyProtection="1">
      <alignment horizontal="center"/>
      <protection locked="0"/>
    </xf>
    <xf numFmtId="0" fontId="4" fillId="0" borderId="0" xfId="0" applyFont="1" applyAlignment="1">
      <alignment horizontal="center"/>
    </xf>
    <xf numFmtId="0" fontId="5" fillId="0" borderId="9" xfId="0" applyFont="1" applyBorder="1" applyAlignment="1" applyProtection="1">
      <alignment horizontal="center"/>
      <protection locked="0"/>
    </xf>
    <xf numFmtId="0" fontId="5" fillId="0" borderId="10" xfId="0" applyFont="1" applyBorder="1" applyAlignment="1" applyProtection="1">
      <alignment horizontal="center"/>
      <protection locked="0"/>
    </xf>
    <xf numFmtId="0" fontId="5" fillId="0" borderId="0" xfId="0" applyFont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10" xfId="0" applyFont="1" applyFill="1" applyBorder="1" applyAlignment="1">
      <alignment horizontal="center"/>
    </xf>
    <xf numFmtId="0" fontId="4" fillId="2" borderId="9" xfId="0" applyFont="1" applyFill="1" applyBorder="1" applyAlignment="1" applyProtection="1">
      <alignment horizontal="center"/>
      <protection locked="0"/>
    </xf>
    <xf numFmtId="0" fontId="4" fillId="3" borderId="10" xfId="0" applyFont="1" applyFill="1" applyBorder="1" applyAlignment="1">
      <alignment horizontal="center"/>
    </xf>
    <xf numFmtId="0" fontId="4" fillId="2" borderId="11" xfId="0" applyFont="1" applyFill="1" applyBorder="1" applyAlignment="1" applyProtection="1">
      <alignment horizontal="center"/>
      <protection locked="0"/>
    </xf>
    <xf numFmtId="0" fontId="4" fillId="3" borderId="12" xfId="0" applyFont="1" applyFill="1" applyBorder="1" applyAlignment="1">
      <alignment horizontal="center"/>
    </xf>
    <xf numFmtId="0" fontId="4" fillId="2" borderId="13" xfId="0" applyFont="1" applyFill="1" applyBorder="1" applyAlignment="1" applyProtection="1">
      <alignment horizontal="center"/>
      <protection locked="0"/>
    </xf>
    <xf numFmtId="0" fontId="4" fillId="3" borderId="14" xfId="0" applyFont="1" applyFill="1" applyBorder="1" applyAlignment="1">
      <alignment horizontal="center"/>
    </xf>
    <xf numFmtId="0" fontId="6" fillId="6" borderId="15" xfId="0" applyFont="1" applyFill="1" applyBorder="1" applyAlignment="1">
      <alignment horizontal="center"/>
    </xf>
    <xf numFmtId="0" fontId="7" fillId="6" borderId="16" xfId="0" applyFont="1" applyFill="1" applyBorder="1" applyAlignment="1">
      <alignment horizontal="left"/>
    </xf>
    <xf numFmtId="0" fontId="0" fillId="6" borderId="17" xfId="0" applyFill="1" applyBorder="1"/>
    <xf numFmtId="0" fontId="0" fillId="6" borderId="18" xfId="0" applyFill="1" applyBorder="1"/>
    <xf numFmtId="0" fontId="0" fillId="6" borderId="19" xfId="0" applyFill="1" applyBorder="1" applyAlignment="1">
      <alignment horizontal="right"/>
    </xf>
    <xf numFmtId="0" fontId="0" fillId="6" borderId="20" xfId="0" applyFill="1" applyBorder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it-IT"/>
              <a:t>Classifica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title>
    <c:autoTitleDeleted val="0"/>
    <c:plotArea>
      <c:layout/>
      <c:lineChart>
        <c:grouping val="standard"/>
        <c:varyColors val="0"/>
        <c:ser>
          <c:idx val="4"/>
          <c:order val="0"/>
          <c:tx>
            <c:strRef>
              <c:f>Paroliamo!$B$6</c:f>
              <c:strCache>
                <c:ptCount val="1"/>
                <c:pt idx="0">
                  <c:v>P1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Paroliamo!$B$9:$B$27</c:f>
              <c:numCache>
                <c:formatCode>General</c:formatCode>
                <c:ptCount val="19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744-42FE-8FCF-1968ED5AFA9C}"/>
            </c:ext>
          </c:extLst>
        </c:ser>
        <c:ser>
          <c:idx val="1"/>
          <c:order val="1"/>
          <c:tx>
            <c:strRef>
              <c:f>Paroliamo!$AL$8</c:f>
              <c:strCache>
                <c:ptCount val="1"/>
                <c:pt idx="0">
                  <c:v>P2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Paroliamo!$AL$9:$AL$27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82A-4F18-AE8B-CACE0501C05A}"/>
            </c:ext>
          </c:extLst>
        </c:ser>
        <c:ser>
          <c:idx val="0"/>
          <c:order val="2"/>
          <c:tx>
            <c:strRef>
              <c:f>Paroliamo!$AK$8</c:f>
              <c:strCache>
                <c:ptCount val="1"/>
                <c:pt idx="0">
                  <c:v>P1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Paroliamo!$AK$9:$AK$27</c:f>
            </c:numRef>
          </c:val>
          <c:smooth val="0"/>
          <c:extLst>
            <c:ext xmlns:c16="http://schemas.microsoft.com/office/drawing/2014/chart" uri="{C3380CC4-5D6E-409C-BE32-E72D297353CC}">
              <c16:uniqueId val="{00000000-582A-4F18-AE8B-CACE0501C05A}"/>
            </c:ext>
          </c:extLst>
        </c:ser>
        <c:ser>
          <c:idx val="2"/>
          <c:order val="3"/>
          <c:tx>
            <c:strRef>
              <c:f>Paroliamo!$AM$8</c:f>
              <c:strCache>
                <c:ptCount val="1"/>
                <c:pt idx="0">
                  <c:v>P3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Paroliamo!$AM$9:$AM$27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82A-4F18-AE8B-CACE0501C05A}"/>
            </c:ext>
          </c:extLst>
        </c:ser>
        <c:ser>
          <c:idx val="3"/>
          <c:order val="4"/>
          <c:tx>
            <c:strRef>
              <c:f>Paroliamo!$AN$8</c:f>
              <c:strCache>
                <c:ptCount val="1"/>
                <c:pt idx="0">
                  <c:v>P4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Paroliamo!$AN$9:$AN$27</c:f>
              <c:numCache>
                <c:formatCode>General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82A-4F18-AE8B-CACE0501C0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45779295"/>
        <c:axId val="1345791359"/>
      </c:lineChart>
      <c:catAx>
        <c:axId val="1345779295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45791359"/>
        <c:crosses val="autoZero"/>
        <c:auto val="1"/>
        <c:lblAlgn val="ctr"/>
        <c:lblOffset val="100"/>
        <c:noMultiLvlLbl val="0"/>
      </c:catAx>
      <c:valAx>
        <c:axId val="13457913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3457792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s://github.com/pmarconcini" TargetMode="External"/><Relationship Id="rId3" Type="http://schemas.openxmlformats.org/officeDocument/2006/relationships/image" Target="../media/image2.svg"/><Relationship Id="rId7" Type="http://schemas.openxmlformats.org/officeDocument/2006/relationships/image" Target="../media/image4.png"/><Relationship Id="rId2" Type="http://schemas.openxmlformats.org/officeDocument/2006/relationships/image" Target="../media/image1.png"/><Relationship Id="rId1" Type="http://schemas.openxmlformats.org/officeDocument/2006/relationships/hyperlink" Target="mailto:pmarconcini75@gmail.com" TargetMode="External"/><Relationship Id="rId6" Type="http://schemas.openxmlformats.org/officeDocument/2006/relationships/hyperlink" Target="https://join.skype.com/invite/dZTcq3hG3014" TargetMode="External"/><Relationship Id="rId5" Type="http://schemas.openxmlformats.org/officeDocument/2006/relationships/image" Target="../media/image3.png"/><Relationship Id="rId4" Type="http://schemas.openxmlformats.org/officeDocument/2006/relationships/hyperlink" Target="https://www.linkedin.com/in/paolomarconcini/" TargetMode="External"/><Relationship Id="rId9" Type="http://schemas.openxmlformats.org/officeDocument/2006/relationships/image" Target="../media/image5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314325</xdr:colOff>
      <xdr:row>6</xdr:row>
      <xdr:rowOff>57150</xdr:rowOff>
    </xdr:from>
    <xdr:to>
      <xdr:col>49</xdr:col>
      <xdr:colOff>190500</xdr:colOff>
      <xdr:row>27</xdr:row>
      <xdr:rowOff>28575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746F495-F7F6-4C2B-9215-AB50AB19702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1162050</xdr:colOff>
      <xdr:row>2</xdr:row>
      <xdr:rowOff>114300</xdr:rowOff>
    </xdr:from>
    <xdr:to>
      <xdr:col>1</xdr:col>
      <xdr:colOff>1977390</xdr:colOff>
      <xdr:row>3</xdr:row>
      <xdr:rowOff>748665</xdr:rowOff>
    </xdr:to>
    <xdr:pic>
      <xdr:nvPicPr>
        <xdr:cNvPr id="8" name="Elemento grafico 364" descr="Posta elettronica con riempimento a tinta unita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4B00D721-B642-499D-9581-1D686ED90A47}"/>
            </a:ext>
          </a:extLst>
        </xdr:cNvPr>
        <xdr:cNvPicPr/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rcRect/>
        <a:stretch/>
      </xdr:blipFill>
      <xdr:spPr>
        <a:xfrm>
          <a:off x="1771650" y="1085850"/>
          <a:ext cx="815340" cy="824865"/>
        </a:xfrm>
        <a:prstGeom prst="rect">
          <a:avLst/>
        </a:prstGeom>
      </xdr:spPr>
    </xdr:pic>
    <xdr:clientData/>
  </xdr:twoCellAnchor>
  <xdr:twoCellAnchor editAs="oneCell">
    <xdr:from>
      <xdr:col>1</xdr:col>
      <xdr:colOff>2202180</xdr:colOff>
      <xdr:row>2</xdr:row>
      <xdr:rowOff>129540</xdr:rowOff>
    </xdr:from>
    <xdr:to>
      <xdr:col>2</xdr:col>
      <xdr:colOff>373380</xdr:colOff>
      <xdr:row>3</xdr:row>
      <xdr:rowOff>733425</xdr:rowOff>
    </xdr:to>
    <xdr:pic>
      <xdr:nvPicPr>
        <xdr:cNvPr id="9" name="Immagine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AD0C49BF-8A6F-413E-A9E4-622513BEE0A8}"/>
            </a:ext>
          </a:extLst>
        </xdr:cNvPr>
        <xdr:cNvPicPr/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11780" y="1101090"/>
          <a:ext cx="723900" cy="794385"/>
        </a:xfrm>
        <a:prstGeom prst="rect">
          <a:avLst/>
        </a:prstGeom>
        <a:noFill/>
        <a:ln>
          <a:noFill/>
        </a:ln>
      </xdr:spPr>
    </xdr:pic>
    <xdr:clientData/>
  </xdr:twoCellAnchor>
  <xdr:twoCellAnchor editAs="oneCell">
    <xdr:from>
      <xdr:col>2</xdr:col>
      <xdr:colOff>624840</xdr:colOff>
      <xdr:row>2</xdr:row>
      <xdr:rowOff>137160</xdr:rowOff>
    </xdr:from>
    <xdr:to>
      <xdr:col>2</xdr:col>
      <xdr:colOff>1394460</xdr:colOff>
      <xdr:row>3</xdr:row>
      <xdr:rowOff>756285</xdr:rowOff>
    </xdr:to>
    <xdr:pic>
      <xdr:nvPicPr>
        <xdr:cNvPr id="10" name="Immagine 9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9E9EABF-9613-4C6B-8B45-4876B6256517}"/>
            </a:ext>
          </a:extLst>
        </xdr:cNvPr>
        <xdr:cNvPicPr/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3787140" y="1108710"/>
          <a:ext cx="769620" cy="809625"/>
        </a:xfrm>
        <a:prstGeom prst="rect">
          <a:avLst/>
        </a:prstGeom>
      </xdr:spPr>
    </xdr:pic>
    <xdr:clientData/>
  </xdr:twoCellAnchor>
  <xdr:twoCellAnchor editAs="oneCell">
    <xdr:from>
      <xdr:col>2</xdr:col>
      <xdr:colOff>1695450</xdr:colOff>
      <xdr:row>2</xdr:row>
      <xdr:rowOff>123825</xdr:rowOff>
    </xdr:from>
    <xdr:to>
      <xdr:col>2</xdr:col>
      <xdr:colOff>2590925</xdr:colOff>
      <xdr:row>3</xdr:row>
      <xdr:rowOff>962169</xdr:rowOff>
    </xdr:to>
    <xdr:pic>
      <xdr:nvPicPr>
        <xdr:cNvPr id="3" name="Immagine 2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B359932-B5BB-7F75-2080-8C4C40D26AB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4857750" y="1095375"/>
          <a:ext cx="895475" cy="10288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B46DDB-84C1-4971-B33B-D419E7F74B53}">
  <sheetPr codeName="Foglio1"/>
  <dimension ref="A1:AN31"/>
  <sheetViews>
    <sheetView tabSelected="1" workbookViewId="0">
      <selection activeCell="A6" sqref="A6"/>
    </sheetView>
  </sheetViews>
  <sheetFormatPr defaultRowHeight="15" x14ac:dyDescent="0.25"/>
  <cols>
    <col min="1" max="1" width="10.28515625" bestFit="1" customWidth="1"/>
    <col min="2" max="12" width="10.42578125" customWidth="1"/>
    <col min="14" max="14" width="9.140625" hidden="1" customWidth="1"/>
    <col min="15" max="16" width="4.28515625" hidden="1" customWidth="1"/>
    <col min="17" max="17" width="4.5703125" hidden="1" customWidth="1"/>
    <col min="18" max="35" width="4.28515625" hidden="1" customWidth="1"/>
    <col min="36" max="37" width="5.28515625" hidden="1" customWidth="1"/>
    <col min="38" max="46" width="5.28515625" customWidth="1"/>
  </cols>
  <sheetData>
    <row r="1" spans="1:40" ht="15.75" thickBot="1" x14ac:dyDescent="0.3">
      <c r="B1" s="1" t="s">
        <v>0</v>
      </c>
      <c r="C1" s="2"/>
      <c r="D1" s="3"/>
      <c r="E1" s="3"/>
      <c r="F1" s="3"/>
      <c r="G1" s="3"/>
      <c r="H1" s="3"/>
      <c r="I1" s="3"/>
      <c r="J1" s="3"/>
      <c r="K1" s="3"/>
      <c r="L1" s="4"/>
      <c r="M1" t="s">
        <v>36</v>
      </c>
      <c r="O1">
        <v>1</v>
      </c>
      <c r="P1">
        <v>2</v>
      </c>
      <c r="Q1">
        <v>3</v>
      </c>
      <c r="R1">
        <v>4</v>
      </c>
      <c r="S1">
        <v>5</v>
      </c>
      <c r="T1">
        <v>6</v>
      </c>
      <c r="U1">
        <v>7</v>
      </c>
      <c r="V1">
        <v>8</v>
      </c>
      <c r="W1">
        <v>9</v>
      </c>
      <c r="X1">
        <v>10</v>
      </c>
      <c r="Z1">
        <v>11</v>
      </c>
      <c r="AA1">
        <v>10</v>
      </c>
      <c r="AB1">
        <v>9</v>
      </c>
      <c r="AC1">
        <v>8</v>
      </c>
      <c r="AD1">
        <v>7</v>
      </c>
      <c r="AE1">
        <v>6</v>
      </c>
      <c r="AF1">
        <v>5</v>
      </c>
      <c r="AG1">
        <v>4</v>
      </c>
      <c r="AH1">
        <v>3</v>
      </c>
      <c r="AI1">
        <v>2</v>
      </c>
    </row>
    <row r="2" spans="1:40" ht="92.25" x14ac:dyDescent="1.35">
      <c r="A2" s="1" t="s">
        <v>1</v>
      </c>
      <c r="B2">
        <f>10-COUNTBLANK(C2:L2)</f>
        <v>0</v>
      </c>
      <c r="C2" s="5" t="str">
        <f>IF(C$1="C",VLOOKUP(C4,Z3:$AJ$18,Z1,TRUE),"")</f>
        <v/>
      </c>
      <c r="D2" s="6" t="str">
        <f>IF(D$1="C",VLOOKUP(D4,AA3:$AJ$18,AA1,TRUE),"")</f>
        <v/>
      </c>
      <c r="E2" s="6" t="str">
        <f>IF(E$1="C",VLOOKUP(E4,AB3:$AJ$18,AB1,TRUE),"")</f>
        <v/>
      </c>
      <c r="F2" s="6" t="str">
        <f>IF(F$1="C",VLOOKUP(F4,AC3:$AJ$18,AC1,TRUE),"")</f>
        <v/>
      </c>
      <c r="G2" s="6" t="str">
        <f>IF(G$1="C",VLOOKUP(G4,AD3:$AJ$18,AD1,TRUE),"")</f>
        <v/>
      </c>
      <c r="H2" s="6" t="str">
        <f>IF(H$1="C",VLOOKUP(H4,AE3:$AJ$18,AE1,TRUE),"")</f>
        <v/>
      </c>
      <c r="I2" s="6" t="str">
        <f>IF(I$1="C",VLOOKUP(I4,AF3:$AJ$18,AF1,TRUE),"")</f>
        <v/>
      </c>
      <c r="J2" s="6" t="str">
        <f>IF(J$1="C",VLOOKUP(J4,AG3:$AJ$18,AG1,TRUE),"")</f>
        <v/>
      </c>
      <c r="K2" s="6" t="str">
        <f>IF(K$1="C",VLOOKUP(K4,AH3:$AJ$18,AH1,TRUE),"")</f>
        <v/>
      </c>
      <c r="L2" s="7" t="str">
        <f>IF(L$1="C",VLOOKUP(L4,AI3:$AJ$18,AI1,TRUE),"")</f>
        <v/>
      </c>
      <c r="N2" t="s">
        <v>1</v>
      </c>
      <c r="O2">
        <f>SUM(O3:O18)</f>
        <v>78</v>
      </c>
      <c r="P2">
        <f t="shared" ref="P2:X2" si="0">SUM(P3:P18)</f>
        <v>78</v>
      </c>
      <c r="Q2">
        <f t="shared" si="0"/>
        <v>78</v>
      </c>
      <c r="R2">
        <f t="shared" si="0"/>
        <v>78</v>
      </c>
      <c r="S2">
        <f t="shared" si="0"/>
        <v>78</v>
      </c>
      <c r="T2">
        <f t="shared" si="0"/>
        <v>78</v>
      </c>
      <c r="U2">
        <f t="shared" si="0"/>
        <v>78</v>
      </c>
      <c r="V2">
        <f t="shared" si="0"/>
        <v>78</v>
      </c>
      <c r="W2">
        <f t="shared" si="0"/>
        <v>78</v>
      </c>
      <c r="X2">
        <f t="shared" si="0"/>
        <v>78</v>
      </c>
      <c r="Z2">
        <f t="shared" ref="Z2:AI2" si="1">O2</f>
        <v>78</v>
      </c>
      <c r="AA2">
        <f t="shared" si="1"/>
        <v>78</v>
      </c>
      <c r="AB2">
        <f t="shared" si="1"/>
        <v>78</v>
      </c>
      <c r="AC2">
        <f t="shared" si="1"/>
        <v>78</v>
      </c>
      <c r="AD2">
        <f t="shared" si="1"/>
        <v>78</v>
      </c>
      <c r="AE2">
        <f t="shared" si="1"/>
        <v>78</v>
      </c>
      <c r="AF2">
        <f t="shared" si="1"/>
        <v>78</v>
      </c>
      <c r="AG2">
        <f t="shared" si="1"/>
        <v>78</v>
      </c>
      <c r="AH2">
        <f t="shared" si="1"/>
        <v>78</v>
      </c>
      <c r="AI2">
        <f t="shared" si="1"/>
        <v>78</v>
      </c>
      <c r="AJ2" t="s">
        <v>1</v>
      </c>
    </row>
    <row r="3" spans="1:40" ht="93" thickBot="1" x14ac:dyDescent="1.4">
      <c r="A3" s="1" t="s">
        <v>2</v>
      </c>
      <c r="B3">
        <f>10-COUNTBLANK(C3:L3)</f>
        <v>0</v>
      </c>
      <c r="C3" s="8" t="str">
        <f>IF(C$1="V",VLOOKUP(C4,Z21:$AJ$25,Z1,TRUE),"")</f>
        <v/>
      </c>
      <c r="D3" s="9" t="str">
        <f>IF(D$1="V",VLOOKUP(D4,AA21:$AJ$25,AA1,TRUE),"")</f>
        <v/>
      </c>
      <c r="E3" s="9" t="str">
        <f>IF(E$1="V",VLOOKUP(E4,AB21:$AJ$25,AB1,TRUE),"")</f>
        <v/>
      </c>
      <c r="F3" s="9" t="str">
        <f>IF(F$1="V",VLOOKUP(F4,AC21:$AJ$25,AC1,TRUE),"")</f>
        <v/>
      </c>
      <c r="G3" s="9" t="str">
        <f>IF(G$1="V",VLOOKUP(G4,AD21:$AJ$25,AD1,TRUE),"")</f>
        <v/>
      </c>
      <c r="H3" s="9" t="str">
        <f>IF(H$1="V",VLOOKUP(H4,AE21:$AJ$25,AE1,TRUE),"")</f>
        <v/>
      </c>
      <c r="I3" s="9" t="str">
        <f>IF(I$1="V",VLOOKUP(I4,AF21:$AJ$25,AF1,TRUE),"")</f>
        <v/>
      </c>
      <c r="J3" s="9" t="str">
        <f>IF(J$1="V",VLOOKUP(J4,AG21:$AJ$25,AG1,TRUE),"")</f>
        <v/>
      </c>
      <c r="K3" s="9" t="str">
        <f>IF(K$1="V",VLOOKUP(K4,AH21:$AJ$25,AH1,TRUE),"")</f>
        <v/>
      </c>
      <c r="L3" s="10" t="str">
        <f>IF(L$1="V",VLOOKUP(L4,AI21:$AJ$25,AI1,TRUE),"")</f>
        <v/>
      </c>
      <c r="N3" t="s">
        <v>3</v>
      </c>
      <c r="O3">
        <v>2</v>
      </c>
      <c r="P3">
        <f t="shared" ref="P3:X18" si="2">O3-IF(C$2=$N3,1,0)</f>
        <v>2</v>
      </c>
      <c r="Q3">
        <f t="shared" si="2"/>
        <v>2</v>
      </c>
      <c r="R3">
        <f t="shared" si="2"/>
        <v>2</v>
      </c>
      <c r="S3">
        <f t="shared" si="2"/>
        <v>2</v>
      </c>
      <c r="T3">
        <f t="shared" si="2"/>
        <v>2</v>
      </c>
      <c r="U3">
        <f t="shared" si="2"/>
        <v>2</v>
      </c>
      <c r="V3">
        <f t="shared" si="2"/>
        <v>2</v>
      </c>
      <c r="W3">
        <f t="shared" si="2"/>
        <v>2</v>
      </c>
      <c r="X3">
        <f t="shared" si="2"/>
        <v>2</v>
      </c>
      <c r="Z3">
        <v>1</v>
      </c>
      <c r="AA3">
        <v>1</v>
      </c>
      <c r="AB3">
        <v>1</v>
      </c>
      <c r="AC3">
        <v>1</v>
      </c>
      <c r="AD3">
        <v>1</v>
      </c>
      <c r="AE3">
        <v>1</v>
      </c>
      <c r="AF3">
        <v>1</v>
      </c>
      <c r="AG3">
        <v>1</v>
      </c>
      <c r="AH3">
        <v>1</v>
      </c>
      <c r="AI3">
        <v>1</v>
      </c>
      <c r="AJ3" t="s">
        <v>3</v>
      </c>
    </row>
    <row r="4" spans="1:40" ht="11.25" customHeight="1" x14ac:dyDescent="0.25">
      <c r="A4" s="11" t="s">
        <v>4</v>
      </c>
      <c r="B4" s="11"/>
      <c r="C4" s="12"/>
      <c r="D4" s="12"/>
      <c r="E4" s="12"/>
      <c r="F4" s="12"/>
      <c r="G4" s="12"/>
      <c r="H4" s="12"/>
      <c r="I4" s="12"/>
      <c r="J4" s="12"/>
      <c r="K4" s="12"/>
      <c r="L4" s="12"/>
      <c r="N4" t="s">
        <v>5</v>
      </c>
      <c r="O4">
        <v>6</v>
      </c>
      <c r="P4">
        <f t="shared" si="2"/>
        <v>6</v>
      </c>
      <c r="Q4">
        <f t="shared" si="2"/>
        <v>6</v>
      </c>
      <c r="R4">
        <f t="shared" si="2"/>
        <v>6</v>
      </c>
      <c r="S4">
        <f t="shared" si="2"/>
        <v>6</v>
      </c>
      <c r="T4">
        <f t="shared" si="2"/>
        <v>6</v>
      </c>
      <c r="U4">
        <f t="shared" si="2"/>
        <v>6</v>
      </c>
      <c r="V4">
        <f t="shared" si="2"/>
        <v>6</v>
      </c>
      <c r="W4">
        <f t="shared" si="2"/>
        <v>6</v>
      </c>
      <c r="X4">
        <f t="shared" si="2"/>
        <v>6</v>
      </c>
      <c r="Z4">
        <f>O3+Z3</f>
        <v>3</v>
      </c>
      <c r="AA4">
        <f t="shared" ref="AA4:AI18" si="3">P3+AA3</f>
        <v>3</v>
      </c>
      <c r="AB4">
        <f t="shared" si="3"/>
        <v>3</v>
      </c>
      <c r="AC4">
        <f t="shared" si="3"/>
        <v>3</v>
      </c>
      <c r="AD4">
        <f t="shared" si="3"/>
        <v>3</v>
      </c>
      <c r="AE4">
        <f t="shared" si="3"/>
        <v>3</v>
      </c>
      <c r="AF4">
        <f t="shared" si="3"/>
        <v>3</v>
      </c>
      <c r="AG4">
        <f t="shared" si="3"/>
        <v>3</v>
      </c>
      <c r="AH4">
        <f t="shared" si="3"/>
        <v>3</v>
      </c>
      <c r="AI4">
        <f t="shared" si="3"/>
        <v>3</v>
      </c>
      <c r="AJ4" t="s">
        <v>5</v>
      </c>
    </row>
    <row r="5" spans="1:40" ht="15.75" thickBot="1" x14ac:dyDescent="0.3">
      <c r="B5" t="s">
        <v>6</v>
      </c>
      <c r="C5" t="s">
        <v>7</v>
      </c>
      <c r="E5" t="s">
        <v>6</v>
      </c>
      <c r="F5" t="s">
        <v>7</v>
      </c>
      <c r="H5" t="s">
        <v>6</v>
      </c>
      <c r="I5" t="s">
        <v>7</v>
      </c>
      <c r="K5" t="s">
        <v>6</v>
      </c>
      <c r="L5" t="s">
        <v>7</v>
      </c>
      <c r="N5" t="s">
        <v>8</v>
      </c>
      <c r="O5">
        <v>2</v>
      </c>
      <c r="P5">
        <f t="shared" si="2"/>
        <v>2</v>
      </c>
      <c r="Q5">
        <f t="shared" si="2"/>
        <v>2</v>
      </c>
      <c r="R5">
        <f t="shared" si="2"/>
        <v>2</v>
      </c>
      <c r="S5">
        <f t="shared" si="2"/>
        <v>2</v>
      </c>
      <c r="T5">
        <f t="shared" si="2"/>
        <v>2</v>
      </c>
      <c r="U5">
        <f t="shared" si="2"/>
        <v>2</v>
      </c>
      <c r="V5">
        <f t="shared" si="2"/>
        <v>2</v>
      </c>
      <c r="W5">
        <f t="shared" si="2"/>
        <v>2</v>
      </c>
      <c r="X5">
        <f t="shared" si="2"/>
        <v>2</v>
      </c>
      <c r="Z5">
        <f t="shared" ref="Z5:Z18" si="4">O4+Z4</f>
        <v>9</v>
      </c>
      <c r="AA5">
        <f t="shared" si="3"/>
        <v>9</v>
      </c>
      <c r="AB5">
        <f t="shared" si="3"/>
        <v>9</v>
      </c>
      <c r="AC5">
        <f t="shared" si="3"/>
        <v>9</v>
      </c>
      <c r="AD5">
        <f t="shared" si="3"/>
        <v>9</v>
      </c>
      <c r="AE5">
        <f t="shared" si="3"/>
        <v>9</v>
      </c>
      <c r="AF5">
        <f t="shared" si="3"/>
        <v>9</v>
      </c>
      <c r="AG5">
        <f t="shared" si="3"/>
        <v>9</v>
      </c>
      <c r="AH5">
        <f t="shared" si="3"/>
        <v>9</v>
      </c>
      <c r="AI5">
        <f t="shared" si="3"/>
        <v>9</v>
      </c>
      <c r="AJ5" t="s">
        <v>8</v>
      </c>
    </row>
    <row r="6" spans="1:40" ht="15.75" thickBot="1" x14ac:dyDescent="0.3">
      <c r="B6" s="13" t="s">
        <v>34</v>
      </c>
      <c r="C6" s="14">
        <v>1</v>
      </c>
      <c r="D6" s="15"/>
      <c r="E6" s="13" t="s">
        <v>35</v>
      </c>
      <c r="F6" s="14">
        <v>1</v>
      </c>
      <c r="G6" s="15"/>
      <c r="H6" s="13" t="s">
        <v>9</v>
      </c>
      <c r="I6" s="14">
        <v>1</v>
      </c>
      <c r="J6" s="15"/>
      <c r="K6" s="13" t="s">
        <v>10</v>
      </c>
      <c r="L6" s="14">
        <v>1</v>
      </c>
      <c r="M6" t="s">
        <v>37</v>
      </c>
      <c r="N6" t="s">
        <v>11</v>
      </c>
      <c r="O6">
        <v>3</v>
      </c>
      <c r="P6">
        <f t="shared" si="2"/>
        <v>3</v>
      </c>
      <c r="Q6">
        <f t="shared" si="2"/>
        <v>3</v>
      </c>
      <c r="R6">
        <f t="shared" si="2"/>
        <v>3</v>
      </c>
      <c r="S6">
        <f t="shared" si="2"/>
        <v>3</v>
      </c>
      <c r="T6">
        <f t="shared" si="2"/>
        <v>3</v>
      </c>
      <c r="U6">
        <f t="shared" si="2"/>
        <v>3</v>
      </c>
      <c r="V6">
        <f t="shared" si="2"/>
        <v>3</v>
      </c>
      <c r="W6">
        <f t="shared" si="2"/>
        <v>3</v>
      </c>
      <c r="X6">
        <f t="shared" si="2"/>
        <v>3</v>
      </c>
      <c r="Z6">
        <f t="shared" si="4"/>
        <v>11</v>
      </c>
      <c r="AA6">
        <f t="shared" si="3"/>
        <v>11</v>
      </c>
      <c r="AB6">
        <f t="shared" si="3"/>
        <v>11</v>
      </c>
      <c r="AC6">
        <f t="shared" si="3"/>
        <v>11</v>
      </c>
      <c r="AD6">
        <f t="shared" si="3"/>
        <v>11</v>
      </c>
      <c r="AE6">
        <f t="shared" si="3"/>
        <v>11</v>
      </c>
      <c r="AF6">
        <f t="shared" si="3"/>
        <v>11</v>
      </c>
      <c r="AG6">
        <f t="shared" si="3"/>
        <v>11</v>
      </c>
      <c r="AH6">
        <f t="shared" si="3"/>
        <v>11</v>
      </c>
      <c r="AI6">
        <f t="shared" si="3"/>
        <v>11</v>
      </c>
      <c r="AJ6" t="s">
        <v>11</v>
      </c>
    </row>
    <row r="7" spans="1:40" ht="15.75" thickBot="1" x14ac:dyDescent="0.3">
      <c r="B7" s="16" t="s">
        <v>12</v>
      </c>
      <c r="C7" s="17" t="s">
        <v>13</v>
      </c>
      <c r="D7" s="18"/>
      <c r="E7" s="16" t="s">
        <v>12</v>
      </c>
      <c r="F7" s="17" t="s">
        <v>13</v>
      </c>
      <c r="G7" s="18"/>
      <c r="H7" s="16" t="s">
        <v>12</v>
      </c>
      <c r="I7" s="17" t="s">
        <v>13</v>
      </c>
      <c r="J7" s="18"/>
      <c r="K7" s="16" t="s">
        <v>12</v>
      </c>
      <c r="L7" s="17" t="s">
        <v>13</v>
      </c>
      <c r="N7" t="s">
        <v>14</v>
      </c>
      <c r="O7">
        <v>4</v>
      </c>
      <c r="P7">
        <f t="shared" si="2"/>
        <v>4</v>
      </c>
      <c r="Q7">
        <f t="shared" si="2"/>
        <v>4</v>
      </c>
      <c r="R7">
        <f t="shared" si="2"/>
        <v>4</v>
      </c>
      <c r="S7">
        <f t="shared" si="2"/>
        <v>4</v>
      </c>
      <c r="T7">
        <f t="shared" si="2"/>
        <v>4</v>
      </c>
      <c r="U7">
        <f t="shared" si="2"/>
        <v>4</v>
      </c>
      <c r="V7">
        <f t="shared" si="2"/>
        <v>4</v>
      </c>
      <c r="W7">
        <f t="shared" si="2"/>
        <v>4</v>
      </c>
      <c r="X7">
        <f t="shared" si="2"/>
        <v>4</v>
      </c>
      <c r="Z7">
        <f t="shared" si="4"/>
        <v>14</v>
      </c>
      <c r="AA7">
        <f t="shared" si="3"/>
        <v>14</v>
      </c>
      <c r="AB7">
        <f t="shared" si="3"/>
        <v>14</v>
      </c>
      <c r="AC7">
        <f t="shared" si="3"/>
        <v>14</v>
      </c>
      <c r="AD7">
        <f t="shared" si="3"/>
        <v>14</v>
      </c>
      <c r="AE7">
        <f t="shared" si="3"/>
        <v>14</v>
      </c>
      <c r="AF7">
        <f t="shared" si="3"/>
        <v>14</v>
      </c>
      <c r="AG7">
        <f t="shared" si="3"/>
        <v>14</v>
      </c>
      <c r="AH7">
        <f t="shared" si="3"/>
        <v>14</v>
      </c>
      <c r="AI7">
        <f t="shared" si="3"/>
        <v>14</v>
      </c>
      <c r="AJ7" t="s">
        <v>14</v>
      </c>
    </row>
    <row r="8" spans="1:40" ht="15.75" thickBot="1" x14ac:dyDescent="0.3">
      <c r="B8" s="19">
        <f>SUM(C9:C27)</f>
        <v>0</v>
      </c>
      <c r="C8" s="20">
        <f>VLOOKUP(B6,$S$28:$T$31,2,FALSE)</f>
        <v>1</v>
      </c>
      <c r="D8" s="15"/>
      <c r="E8" s="19">
        <f>SUM(F9:F27)</f>
        <v>0</v>
      </c>
      <c r="F8" s="20">
        <f>VLOOKUP(E6,$S$28:$T$31,2,FALSE)</f>
        <v>1</v>
      </c>
      <c r="G8" s="15"/>
      <c r="H8" s="19">
        <f>SUM(I9:I27)</f>
        <v>0</v>
      </c>
      <c r="I8" s="20">
        <f>VLOOKUP(H6,$S$28:$T$31,2,FALSE)</f>
        <v>1</v>
      </c>
      <c r="J8" s="15"/>
      <c r="K8" s="19">
        <f>SUM(L9:L27)</f>
        <v>0</v>
      </c>
      <c r="L8" s="20">
        <f>VLOOKUP(K6,$S$28:$T$31,2,FALSE)</f>
        <v>1</v>
      </c>
      <c r="N8" t="s">
        <v>15</v>
      </c>
      <c r="O8">
        <v>2</v>
      </c>
      <c r="P8">
        <f t="shared" si="2"/>
        <v>2</v>
      </c>
      <c r="Q8">
        <f t="shared" si="2"/>
        <v>2</v>
      </c>
      <c r="R8">
        <f t="shared" si="2"/>
        <v>2</v>
      </c>
      <c r="S8">
        <f t="shared" si="2"/>
        <v>2</v>
      </c>
      <c r="T8">
        <f t="shared" si="2"/>
        <v>2</v>
      </c>
      <c r="U8">
        <f t="shared" si="2"/>
        <v>2</v>
      </c>
      <c r="V8">
        <f t="shared" si="2"/>
        <v>2</v>
      </c>
      <c r="W8">
        <f t="shared" si="2"/>
        <v>2</v>
      </c>
      <c r="X8">
        <f t="shared" si="2"/>
        <v>2</v>
      </c>
      <c r="Z8">
        <f t="shared" si="4"/>
        <v>18</v>
      </c>
      <c r="AA8">
        <f t="shared" si="3"/>
        <v>18</v>
      </c>
      <c r="AB8">
        <f t="shared" si="3"/>
        <v>18</v>
      </c>
      <c r="AC8">
        <f t="shared" si="3"/>
        <v>18</v>
      </c>
      <c r="AD8">
        <f t="shared" si="3"/>
        <v>18</v>
      </c>
      <c r="AE8">
        <f t="shared" si="3"/>
        <v>18</v>
      </c>
      <c r="AF8">
        <f t="shared" si="3"/>
        <v>18</v>
      </c>
      <c r="AG8">
        <f t="shared" si="3"/>
        <v>18</v>
      </c>
      <c r="AH8">
        <f t="shared" si="3"/>
        <v>18</v>
      </c>
      <c r="AI8">
        <f t="shared" si="3"/>
        <v>18</v>
      </c>
      <c r="AJ8" t="s">
        <v>15</v>
      </c>
      <c r="AK8" t="str">
        <f>B6</f>
        <v>P1</v>
      </c>
      <c r="AL8" t="str">
        <f>E6</f>
        <v>P2</v>
      </c>
      <c r="AM8" t="str">
        <f>H6</f>
        <v>P3</v>
      </c>
      <c r="AN8" t="str">
        <f>K6</f>
        <v>P4</v>
      </c>
    </row>
    <row r="9" spans="1:40" ht="12" customHeight="1" x14ac:dyDescent="0.25">
      <c r="B9" s="21"/>
      <c r="C9" s="22" t="str">
        <f>IF(B9="","",C$6*B9)</f>
        <v/>
      </c>
      <c r="D9" s="15"/>
      <c r="E9" s="21"/>
      <c r="F9" s="22" t="str">
        <f>IF(E9="","",F$6*E9)</f>
        <v/>
      </c>
      <c r="G9" s="15"/>
      <c r="H9" s="21"/>
      <c r="I9" s="22" t="str">
        <f>IF(H9="","",I$6*H9)</f>
        <v/>
      </c>
      <c r="J9" s="15"/>
      <c r="K9" s="21"/>
      <c r="L9" s="22" t="str">
        <f>IF(K9="","",L$6*K9)</f>
        <v/>
      </c>
      <c r="N9" t="s">
        <v>16</v>
      </c>
      <c r="O9">
        <v>4</v>
      </c>
      <c r="P9">
        <f t="shared" si="2"/>
        <v>4</v>
      </c>
      <c r="Q9">
        <f t="shared" si="2"/>
        <v>4</v>
      </c>
      <c r="R9">
        <f t="shared" si="2"/>
        <v>4</v>
      </c>
      <c r="S9">
        <f t="shared" si="2"/>
        <v>4</v>
      </c>
      <c r="T9">
        <f t="shared" si="2"/>
        <v>4</v>
      </c>
      <c r="U9">
        <f t="shared" si="2"/>
        <v>4</v>
      </c>
      <c r="V9">
        <f t="shared" si="2"/>
        <v>4</v>
      </c>
      <c r="W9">
        <f t="shared" si="2"/>
        <v>4</v>
      </c>
      <c r="X9">
        <f t="shared" si="2"/>
        <v>4</v>
      </c>
      <c r="Z9">
        <f t="shared" si="4"/>
        <v>20</v>
      </c>
      <c r="AA9">
        <f t="shared" si="3"/>
        <v>20</v>
      </c>
      <c r="AB9">
        <f t="shared" si="3"/>
        <v>20</v>
      </c>
      <c r="AC9">
        <f t="shared" si="3"/>
        <v>20</v>
      </c>
      <c r="AD9">
        <f t="shared" si="3"/>
        <v>20</v>
      </c>
      <c r="AE9">
        <f t="shared" si="3"/>
        <v>20</v>
      </c>
      <c r="AF9">
        <f t="shared" si="3"/>
        <v>20</v>
      </c>
      <c r="AG9">
        <f t="shared" si="3"/>
        <v>20</v>
      </c>
      <c r="AH9">
        <f t="shared" si="3"/>
        <v>20</v>
      </c>
      <c r="AI9">
        <f t="shared" si="3"/>
        <v>20</v>
      </c>
      <c r="AJ9" t="s">
        <v>16</v>
      </c>
      <c r="AK9">
        <f>SUM($C$9:C9)</f>
        <v>0</v>
      </c>
      <c r="AL9">
        <f>SUM($F$9:F9)</f>
        <v>0</v>
      </c>
      <c r="AM9">
        <f>SUM($I$9:I9)</f>
        <v>0</v>
      </c>
      <c r="AN9">
        <f>SUM($L$9:L9)</f>
        <v>0</v>
      </c>
    </row>
    <row r="10" spans="1:40" ht="12" customHeight="1" x14ac:dyDescent="0.25">
      <c r="B10" s="23"/>
      <c r="C10" s="24" t="str">
        <f>IF(B10="","",C$6*B10)</f>
        <v/>
      </c>
      <c r="D10" s="15"/>
      <c r="E10" s="23"/>
      <c r="F10" s="24" t="str">
        <f>IF(E10="","",F$6*E10)</f>
        <v/>
      </c>
      <c r="G10" s="15"/>
      <c r="H10" s="23"/>
      <c r="I10" s="24" t="str">
        <f>IF(H10="","",I$6*H10)</f>
        <v/>
      </c>
      <c r="J10" s="15"/>
      <c r="K10" s="23"/>
      <c r="L10" s="24" t="str">
        <f>IF(K10="","",L$6*K10)</f>
        <v/>
      </c>
      <c r="N10" t="s">
        <v>17</v>
      </c>
      <c r="O10">
        <v>6</v>
      </c>
      <c r="P10">
        <f t="shared" si="2"/>
        <v>6</v>
      </c>
      <c r="Q10">
        <f t="shared" si="2"/>
        <v>6</v>
      </c>
      <c r="R10">
        <f t="shared" si="2"/>
        <v>6</v>
      </c>
      <c r="S10">
        <f t="shared" si="2"/>
        <v>6</v>
      </c>
      <c r="T10">
        <f t="shared" si="2"/>
        <v>6</v>
      </c>
      <c r="U10">
        <f t="shared" si="2"/>
        <v>6</v>
      </c>
      <c r="V10">
        <f t="shared" si="2"/>
        <v>6</v>
      </c>
      <c r="W10">
        <f t="shared" si="2"/>
        <v>6</v>
      </c>
      <c r="X10">
        <f t="shared" si="2"/>
        <v>6</v>
      </c>
      <c r="Z10">
        <f t="shared" si="4"/>
        <v>24</v>
      </c>
      <c r="AA10">
        <f t="shared" si="3"/>
        <v>24</v>
      </c>
      <c r="AB10">
        <f t="shared" si="3"/>
        <v>24</v>
      </c>
      <c r="AC10">
        <f t="shared" si="3"/>
        <v>24</v>
      </c>
      <c r="AD10">
        <f t="shared" si="3"/>
        <v>24</v>
      </c>
      <c r="AE10">
        <f t="shared" si="3"/>
        <v>24</v>
      </c>
      <c r="AF10">
        <f t="shared" si="3"/>
        <v>24</v>
      </c>
      <c r="AG10">
        <f t="shared" si="3"/>
        <v>24</v>
      </c>
      <c r="AH10">
        <f t="shared" si="3"/>
        <v>24</v>
      </c>
      <c r="AI10">
        <f t="shared" si="3"/>
        <v>24</v>
      </c>
      <c r="AJ10" t="s">
        <v>17</v>
      </c>
      <c r="AK10">
        <f>SUM($C$9:C10)</f>
        <v>0</v>
      </c>
      <c r="AL10">
        <f>SUM($F$9:F10)</f>
        <v>0</v>
      </c>
      <c r="AM10">
        <f>SUM($I$9:I10)</f>
        <v>0</v>
      </c>
      <c r="AN10">
        <f>SUM($L$9:L10)</f>
        <v>0</v>
      </c>
    </row>
    <row r="11" spans="1:40" ht="12" customHeight="1" x14ac:dyDescent="0.25">
      <c r="B11" s="23"/>
      <c r="C11" s="24" t="str">
        <f t="shared" ref="C11:C27" si="5">IF(B11="","",C$6*B11)</f>
        <v/>
      </c>
      <c r="D11" s="15"/>
      <c r="E11" s="23"/>
      <c r="F11" s="24" t="str">
        <f t="shared" ref="F11:F27" si="6">IF(E11="","",F$6*E11)</f>
        <v/>
      </c>
      <c r="G11" s="15"/>
      <c r="H11" s="23"/>
      <c r="I11" s="24" t="str">
        <f t="shared" ref="I11:I27" si="7">IF(H11="","",I$6*H11)</f>
        <v/>
      </c>
      <c r="J11" s="15"/>
      <c r="K11" s="23"/>
      <c r="L11" s="24" t="str">
        <f t="shared" ref="L11:L27" si="8">IF(K11="","",L$6*K11)</f>
        <v/>
      </c>
      <c r="N11" t="s">
        <v>18</v>
      </c>
      <c r="O11">
        <v>6</v>
      </c>
      <c r="P11">
        <f t="shared" si="2"/>
        <v>6</v>
      </c>
      <c r="Q11">
        <f t="shared" si="2"/>
        <v>6</v>
      </c>
      <c r="R11">
        <f t="shared" si="2"/>
        <v>6</v>
      </c>
      <c r="S11">
        <f t="shared" si="2"/>
        <v>6</v>
      </c>
      <c r="T11">
        <f t="shared" si="2"/>
        <v>6</v>
      </c>
      <c r="U11">
        <f t="shared" si="2"/>
        <v>6</v>
      </c>
      <c r="V11">
        <f t="shared" si="2"/>
        <v>6</v>
      </c>
      <c r="W11">
        <f t="shared" si="2"/>
        <v>6</v>
      </c>
      <c r="X11">
        <f t="shared" si="2"/>
        <v>6</v>
      </c>
      <c r="Z11">
        <f t="shared" si="4"/>
        <v>30</v>
      </c>
      <c r="AA11">
        <f t="shared" si="3"/>
        <v>30</v>
      </c>
      <c r="AB11">
        <f t="shared" si="3"/>
        <v>30</v>
      </c>
      <c r="AC11">
        <f t="shared" si="3"/>
        <v>30</v>
      </c>
      <c r="AD11">
        <f t="shared" si="3"/>
        <v>30</v>
      </c>
      <c r="AE11">
        <f t="shared" si="3"/>
        <v>30</v>
      </c>
      <c r="AF11">
        <f t="shared" si="3"/>
        <v>30</v>
      </c>
      <c r="AG11">
        <f t="shared" si="3"/>
        <v>30</v>
      </c>
      <c r="AH11">
        <f t="shared" si="3"/>
        <v>30</v>
      </c>
      <c r="AI11">
        <f t="shared" si="3"/>
        <v>30</v>
      </c>
      <c r="AJ11" t="s">
        <v>18</v>
      </c>
      <c r="AK11">
        <f>SUM($C$9:C11)</f>
        <v>0</v>
      </c>
      <c r="AL11">
        <f>SUM($F$9:F11)</f>
        <v>0</v>
      </c>
      <c r="AM11">
        <f>SUM($I$9:I11)</f>
        <v>0</v>
      </c>
      <c r="AN11">
        <f>SUM($L$9:L11)</f>
        <v>0</v>
      </c>
    </row>
    <row r="12" spans="1:40" ht="12" customHeight="1" x14ac:dyDescent="0.25">
      <c r="B12" s="23"/>
      <c r="C12" s="24" t="str">
        <f t="shared" si="5"/>
        <v/>
      </c>
      <c r="D12" s="15"/>
      <c r="E12" s="23"/>
      <c r="F12" s="24" t="str">
        <f t="shared" si="6"/>
        <v/>
      </c>
      <c r="G12" s="15"/>
      <c r="H12" s="23"/>
      <c r="I12" s="24" t="str">
        <f t="shared" si="7"/>
        <v/>
      </c>
      <c r="J12" s="15"/>
      <c r="K12" s="23"/>
      <c r="L12" s="24" t="str">
        <f t="shared" si="8"/>
        <v/>
      </c>
      <c r="N12" t="s">
        <v>19</v>
      </c>
      <c r="O12">
        <v>6</v>
      </c>
      <c r="P12">
        <f t="shared" si="2"/>
        <v>6</v>
      </c>
      <c r="Q12">
        <f t="shared" si="2"/>
        <v>6</v>
      </c>
      <c r="R12">
        <f t="shared" si="2"/>
        <v>6</v>
      </c>
      <c r="S12">
        <f t="shared" si="2"/>
        <v>6</v>
      </c>
      <c r="T12">
        <f t="shared" si="2"/>
        <v>6</v>
      </c>
      <c r="U12">
        <f t="shared" si="2"/>
        <v>6</v>
      </c>
      <c r="V12">
        <f t="shared" si="2"/>
        <v>6</v>
      </c>
      <c r="W12">
        <f t="shared" si="2"/>
        <v>6</v>
      </c>
      <c r="X12">
        <f t="shared" si="2"/>
        <v>6</v>
      </c>
      <c r="Z12">
        <f t="shared" si="4"/>
        <v>36</v>
      </c>
      <c r="AA12">
        <f t="shared" si="3"/>
        <v>36</v>
      </c>
      <c r="AB12">
        <f t="shared" si="3"/>
        <v>36</v>
      </c>
      <c r="AC12">
        <f t="shared" si="3"/>
        <v>36</v>
      </c>
      <c r="AD12">
        <f t="shared" si="3"/>
        <v>36</v>
      </c>
      <c r="AE12">
        <f t="shared" si="3"/>
        <v>36</v>
      </c>
      <c r="AF12">
        <f t="shared" si="3"/>
        <v>36</v>
      </c>
      <c r="AG12">
        <f t="shared" si="3"/>
        <v>36</v>
      </c>
      <c r="AH12">
        <f t="shared" si="3"/>
        <v>36</v>
      </c>
      <c r="AI12">
        <f t="shared" si="3"/>
        <v>36</v>
      </c>
      <c r="AJ12" t="s">
        <v>19</v>
      </c>
      <c r="AK12">
        <f>SUM($C$9:C12)</f>
        <v>0</v>
      </c>
      <c r="AL12">
        <f>SUM($F$9:F12)</f>
        <v>0</v>
      </c>
      <c r="AM12">
        <f>SUM($I$9:I12)</f>
        <v>0</v>
      </c>
      <c r="AN12">
        <f>SUM($L$9:L12)</f>
        <v>0</v>
      </c>
    </row>
    <row r="13" spans="1:40" ht="12" customHeight="1" x14ac:dyDescent="0.25">
      <c r="B13" s="23"/>
      <c r="C13" s="24" t="str">
        <f t="shared" si="5"/>
        <v/>
      </c>
      <c r="D13" s="15"/>
      <c r="E13" s="23"/>
      <c r="F13" s="24" t="str">
        <f t="shared" si="6"/>
        <v/>
      </c>
      <c r="G13" s="15"/>
      <c r="H13" s="23"/>
      <c r="I13" s="24" t="str">
        <f t="shared" si="7"/>
        <v/>
      </c>
      <c r="J13" s="15"/>
      <c r="K13" s="23"/>
      <c r="L13" s="24" t="str">
        <f t="shared" si="8"/>
        <v/>
      </c>
      <c r="N13" t="s">
        <v>20</v>
      </c>
      <c r="O13">
        <v>2</v>
      </c>
      <c r="P13">
        <f t="shared" si="2"/>
        <v>2</v>
      </c>
      <c r="Q13">
        <f t="shared" si="2"/>
        <v>2</v>
      </c>
      <c r="R13">
        <f t="shared" si="2"/>
        <v>2</v>
      </c>
      <c r="S13">
        <f t="shared" si="2"/>
        <v>2</v>
      </c>
      <c r="T13">
        <f t="shared" si="2"/>
        <v>2</v>
      </c>
      <c r="U13">
        <f t="shared" si="2"/>
        <v>2</v>
      </c>
      <c r="V13">
        <f t="shared" si="2"/>
        <v>2</v>
      </c>
      <c r="W13">
        <f t="shared" si="2"/>
        <v>2</v>
      </c>
      <c r="X13">
        <f t="shared" si="2"/>
        <v>2</v>
      </c>
      <c r="Z13">
        <f t="shared" si="4"/>
        <v>42</v>
      </c>
      <c r="AA13">
        <f t="shared" si="3"/>
        <v>42</v>
      </c>
      <c r="AB13">
        <f t="shared" si="3"/>
        <v>42</v>
      </c>
      <c r="AC13">
        <f t="shared" si="3"/>
        <v>42</v>
      </c>
      <c r="AD13">
        <f t="shared" si="3"/>
        <v>42</v>
      </c>
      <c r="AE13">
        <f t="shared" si="3"/>
        <v>42</v>
      </c>
      <c r="AF13">
        <f t="shared" si="3"/>
        <v>42</v>
      </c>
      <c r="AG13">
        <f t="shared" si="3"/>
        <v>42</v>
      </c>
      <c r="AH13">
        <f t="shared" si="3"/>
        <v>42</v>
      </c>
      <c r="AI13">
        <f t="shared" si="3"/>
        <v>42</v>
      </c>
      <c r="AJ13" t="s">
        <v>20</v>
      </c>
      <c r="AK13">
        <f>SUM($C$9:C13)</f>
        <v>0</v>
      </c>
      <c r="AL13">
        <f>SUM($F$9:F13)</f>
        <v>0</v>
      </c>
      <c r="AM13">
        <f>SUM($I$9:I13)</f>
        <v>0</v>
      </c>
      <c r="AN13">
        <f>SUM($L$9:L13)</f>
        <v>0</v>
      </c>
    </row>
    <row r="14" spans="1:40" ht="12" customHeight="1" x14ac:dyDescent="0.25">
      <c r="B14" s="23"/>
      <c r="C14" s="24" t="str">
        <f t="shared" si="5"/>
        <v/>
      </c>
      <c r="D14" s="15"/>
      <c r="E14" s="23"/>
      <c r="F14" s="24" t="str">
        <f t="shared" si="6"/>
        <v/>
      </c>
      <c r="G14" s="15"/>
      <c r="H14" s="23"/>
      <c r="I14" s="24" t="str">
        <f t="shared" si="7"/>
        <v/>
      </c>
      <c r="J14" s="15"/>
      <c r="K14" s="23"/>
      <c r="L14" s="24" t="str">
        <f t="shared" si="8"/>
        <v/>
      </c>
      <c r="N14" t="s">
        <v>21</v>
      </c>
      <c r="O14">
        <v>8</v>
      </c>
      <c r="P14">
        <f t="shared" si="2"/>
        <v>8</v>
      </c>
      <c r="Q14">
        <f t="shared" si="2"/>
        <v>8</v>
      </c>
      <c r="R14">
        <f t="shared" si="2"/>
        <v>8</v>
      </c>
      <c r="S14">
        <f t="shared" si="2"/>
        <v>8</v>
      </c>
      <c r="T14">
        <f t="shared" si="2"/>
        <v>8</v>
      </c>
      <c r="U14">
        <f t="shared" si="2"/>
        <v>8</v>
      </c>
      <c r="V14">
        <f t="shared" si="2"/>
        <v>8</v>
      </c>
      <c r="W14">
        <f t="shared" si="2"/>
        <v>8</v>
      </c>
      <c r="X14">
        <f t="shared" si="2"/>
        <v>8</v>
      </c>
      <c r="Z14">
        <f t="shared" si="4"/>
        <v>44</v>
      </c>
      <c r="AA14">
        <f t="shared" si="3"/>
        <v>44</v>
      </c>
      <c r="AB14">
        <f t="shared" si="3"/>
        <v>44</v>
      </c>
      <c r="AC14">
        <f t="shared" si="3"/>
        <v>44</v>
      </c>
      <c r="AD14">
        <f t="shared" si="3"/>
        <v>44</v>
      </c>
      <c r="AE14">
        <f t="shared" si="3"/>
        <v>44</v>
      </c>
      <c r="AF14">
        <f t="shared" si="3"/>
        <v>44</v>
      </c>
      <c r="AG14">
        <f t="shared" si="3"/>
        <v>44</v>
      </c>
      <c r="AH14">
        <f t="shared" si="3"/>
        <v>44</v>
      </c>
      <c r="AI14">
        <f t="shared" si="3"/>
        <v>44</v>
      </c>
      <c r="AJ14" t="s">
        <v>21</v>
      </c>
      <c r="AK14">
        <f>SUM($C$9:C14)</f>
        <v>0</v>
      </c>
      <c r="AL14">
        <f>SUM($F$9:F14)</f>
        <v>0</v>
      </c>
      <c r="AM14">
        <f>SUM($I$9:I14)</f>
        <v>0</v>
      </c>
      <c r="AN14">
        <f>SUM($L$9:L14)</f>
        <v>0</v>
      </c>
    </row>
    <row r="15" spans="1:40" ht="12" customHeight="1" x14ac:dyDescent="0.25">
      <c r="B15" s="23"/>
      <c r="C15" s="24" t="str">
        <f t="shared" si="5"/>
        <v/>
      </c>
      <c r="D15" s="15"/>
      <c r="E15" s="23"/>
      <c r="F15" s="24" t="str">
        <f t="shared" si="6"/>
        <v/>
      </c>
      <c r="G15" s="15"/>
      <c r="H15" s="23"/>
      <c r="I15" s="24" t="str">
        <f t="shared" si="7"/>
        <v/>
      </c>
      <c r="J15" s="15"/>
      <c r="K15" s="23"/>
      <c r="L15" s="24" t="str">
        <f t="shared" si="8"/>
        <v/>
      </c>
      <c r="N15" t="s">
        <v>22</v>
      </c>
      <c r="O15">
        <v>10</v>
      </c>
      <c r="P15">
        <f t="shared" si="2"/>
        <v>10</v>
      </c>
      <c r="Q15">
        <f t="shared" si="2"/>
        <v>10</v>
      </c>
      <c r="R15">
        <f t="shared" si="2"/>
        <v>10</v>
      </c>
      <c r="S15">
        <f t="shared" si="2"/>
        <v>10</v>
      </c>
      <c r="T15">
        <f t="shared" si="2"/>
        <v>10</v>
      </c>
      <c r="U15">
        <f t="shared" si="2"/>
        <v>10</v>
      </c>
      <c r="V15">
        <f t="shared" si="2"/>
        <v>10</v>
      </c>
      <c r="W15">
        <f t="shared" si="2"/>
        <v>10</v>
      </c>
      <c r="X15">
        <f t="shared" si="2"/>
        <v>10</v>
      </c>
      <c r="Z15">
        <f t="shared" si="4"/>
        <v>52</v>
      </c>
      <c r="AA15">
        <f t="shared" si="3"/>
        <v>52</v>
      </c>
      <c r="AB15">
        <f t="shared" si="3"/>
        <v>52</v>
      </c>
      <c r="AC15">
        <f t="shared" si="3"/>
        <v>52</v>
      </c>
      <c r="AD15">
        <f t="shared" si="3"/>
        <v>52</v>
      </c>
      <c r="AE15">
        <f t="shared" si="3"/>
        <v>52</v>
      </c>
      <c r="AF15">
        <f t="shared" si="3"/>
        <v>52</v>
      </c>
      <c r="AG15">
        <f t="shared" si="3"/>
        <v>52</v>
      </c>
      <c r="AH15">
        <f t="shared" si="3"/>
        <v>52</v>
      </c>
      <c r="AI15">
        <f t="shared" si="3"/>
        <v>52</v>
      </c>
      <c r="AJ15" t="s">
        <v>22</v>
      </c>
      <c r="AK15">
        <f>SUM($C$9:C15)</f>
        <v>0</v>
      </c>
      <c r="AL15">
        <f>SUM($F$9:F15)</f>
        <v>0</v>
      </c>
      <c r="AM15">
        <f>SUM($I$9:I15)</f>
        <v>0</v>
      </c>
      <c r="AN15">
        <f>SUM($L$9:L15)</f>
        <v>0</v>
      </c>
    </row>
    <row r="16" spans="1:40" ht="12" customHeight="1" x14ac:dyDescent="0.25">
      <c r="B16" s="23"/>
      <c r="C16" s="24" t="str">
        <f t="shared" si="5"/>
        <v/>
      </c>
      <c r="D16" s="15"/>
      <c r="E16" s="23"/>
      <c r="F16" s="24" t="str">
        <f t="shared" si="6"/>
        <v/>
      </c>
      <c r="G16" s="15"/>
      <c r="H16" s="23"/>
      <c r="I16" s="24" t="str">
        <f t="shared" si="7"/>
        <v/>
      </c>
      <c r="J16" s="15"/>
      <c r="K16" s="23"/>
      <c r="L16" s="24" t="str">
        <f t="shared" si="8"/>
        <v/>
      </c>
      <c r="N16" t="s">
        <v>23</v>
      </c>
      <c r="O16">
        <v>10</v>
      </c>
      <c r="P16">
        <f t="shared" si="2"/>
        <v>10</v>
      </c>
      <c r="Q16">
        <f t="shared" si="2"/>
        <v>10</v>
      </c>
      <c r="R16">
        <f t="shared" si="2"/>
        <v>10</v>
      </c>
      <c r="S16">
        <f t="shared" si="2"/>
        <v>10</v>
      </c>
      <c r="T16">
        <f t="shared" si="2"/>
        <v>10</v>
      </c>
      <c r="U16">
        <f t="shared" si="2"/>
        <v>10</v>
      </c>
      <c r="V16">
        <f t="shared" si="2"/>
        <v>10</v>
      </c>
      <c r="W16">
        <f t="shared" si="2"/>
        <v>10</v>
      </c>
      <c r="X16">
        <f t="shared" si="2"/>
        <v>10</v>
      </c>
      <c r="Z16">
        <f t="shared" si="4"/>
        <v>62</v>
      </c>
      <c r="AA16">
        <f t="shared" si="3"/>
        <v>62</v>
      </c>
      <c r="AB16">
        <f t="shared" si="3"/>
        <v>62</v>
      </c>
      <c r="AC16">
        <f t="shared" si="3"/>
        <v>62</v>
      </c>
      <c r="AD16">
        <f t="shared" si="3"/>
        <v>62</v>
      </c>
      <c r="AE16">
        <f t="shared" si="3"/>
        <v>62</v>
      </c>
      <c r="AF16">
        <f t="shared" si="3"/>
        <v>62</v>
      </c>
      <c r="AG16">
        <f t="shared" si="3"/>
        <v>62</v>
      </c>
      <c r="AH16">
        <f t="shared" si="3"/>
        <v>62</v>
      </c>
      <c r="AI16">
        <f t="shared" si="3"/>
        <v>62</v>
      </c>
      <c r="AJ16" t="s">
        <v>23</v>
      </c>
      <c r="AK16">
        <f>SUM($C$9:C16)</f>
        <v>0</v>
      </c>
      <c r="AL16">
        <f>SUM($F$9:F16)</f>
        <v>0</v>
      </c>
      <c r="AM16">
        <f>SUM($I$9:I16)</f>
        <v>0</v>
      </c>
      <c r="AN16">
        <f>SUM($L$9:L16)</f>
        <v>0</v>
      </c>
    </row>
    <row r="17" spans="2:40" ht="12" customHeight="1" x14ac:dyDescent="0.25">
      <c r="B17" s="23"/>
      <c r="C17" s="24" t="str">
        <f t="shared" si="5"/>
        <v/>
      </c>
      <c r="D17" s="15"/>
      <c r="E17" s="23"/>
      <c r="F17" s="24" t="str">
        <f t="shared" si="6"/>
        <v/>
      </c>
      <c r="G17" s="15"/>
      <c r="H17" s="23"/>
      <c r="I17" s="24" t="str">
        <f t="shared" si="7"/>
        <v/>
      </c>
      <c r="J17" s="15"/>
      <c r="K17" s="23"/>
      <c r="L17" s="24" t="str">
        <f t="shared" si="8"/>
        <v/>
      </c>
      <c r="N17" t="s">
        <v>24</v>
      </c>
      <c r="O17">
        <v>2</v>
      </c>
      <c r="P17">
        <f t="shared" si="2"/>
        <v>2</v>
      </c>
      <c r="Q17">
        <f t="shared" si="2"/>
        <v>2</v>
      </c>
      <c r="R17">
        <f t="shared" si="2"/>
        <v>2</v>
      </c>
      <c r="S17">
        <f t="shared" si="2"/>
        <v>2</v>
      </c>
      <c r="T17">
        <f t="shared" si="2"/>
        <v>2</v>
      </c>
      <c r="U17">
        <f t="shared" si="2"/>
        <v>2</v>
      </c>
      <c r="V17">
        <f t="shared" si="2"/>
        <v>2</v>
      </c>
      <c r="W17">
        <f t="shared" si="2"/>
        <v>2</v>
      </c>
      <c r="X17">
        <f t="shared" si="2"/>
        <v>2</v>
      </c>
      <c r="Z17">
        <f t="shared" si="4"/>
        <v>72</v>
      </c>
      <c r="AA17">
        <f t="shared" si="3"/>
        <v>72</v>
      </c>
      <c r="AB17">
        <f t="shared" si="3"/>
        <v>72</v>
      </c>
      <c r="AC17">
        <f t="shared" si="3"/>
        <v>72</v>
      </c>
      <c r="AD17">
        <f t="shared" si="3"/>
        <v>72</v>
      </c>
      <c r="AE17">
        <f t="shared" si="3"/>
        <v>72</v>
      </c>
      <c r="AF17">
        <f t="shared" si="3"/>
        <v>72</v>
      </c>
      <c r="AG17">
        <f t="shared" si="3"/>
        <v>72</v>
      </c>
      <c r="AH17">
        <f t="shared" si="3"/>
        <v>72</v>
      </c>
      <c r="AI17">
        <f t="shared" si="3"/>
        <v>72</v>
      </c>
      <c r="AJ17" t="s">
        <v>24</v>
      </c>
      <c r="AK17">
        <f>SUM($C$9:C17)</f>
        <v>0</v>
      </c>
      <c r="AL17">
        <f>SUM($F$9:F17)</f>
        <v>0</v>
      </c>
      <c r="AM17">
        <f>SUM($I$9:I17)</f>
        <v>0</v>
      </c>
      <c r="AN17">
        <f>SUM($L$9:L17)</f>
        <v>0</v>
      </c>
    </row>
    <row r="18" spans="2:40" ht="12" customHeight="1" x14ac:dyDescent="0.25">
      <c r="B18" s="23"/>
      <c r="C18" s="24" t="str">
        <f t="shared" si="5"/>
        <v/>
      </c>
      <c r="D18" s="15"/>
      <c r="E18" s="23"/>
      <c r="F18" s="24" t="str">
        <f t="shared" si="6"/>
        <v/>
      </c>
      <c r="G18" s="15"/>
      <c r="H18" s="23"/>
      <c r="I18" s="24" t="str">
        <f t="shared" si="7"/>
        <v/>
      </c>
      <c r="J18" s="15"/>
      <c r="K18" s="23"/>
      <c r="L18" s="24" t="str">
        <f t="shared" si="8"/>
        <v/>
      </c>
      <c r="N18" t="s">
        <v>25</v>
      </c>
      <c r="O18">
        <v>5</v>
      </c>
      <c r="P18">
        <f t="shared" si="2"/>
        <v>5</v>
      </c>
      <c r="Q18">
        <f t="shared" si="2"/>
        <v>5</v>
      </c>
      <c r="R18">
        <f t="shared" si="2"/>
        <v>5</v>
      </c>
      <c r="S18">
        <f t="shared" si="2"/>
        <v>5</v>
      </c>
      <c r="T18">
        <f t="shared" si="2"/>
        <v>5</v>
      </c>
      <c r="U18">
        <f t="shared" si="2"/>
        <v>5</v>
      </c>
      <c r="V18">
        <f t="shared" si="2"/>
        <v>5</v>
      </c>
      <c r="W18">
        <f t="shared" si="2"/>
        <v>5</v>
      </c>
      <c r="X18">
        <f t="shared" si="2"/>
        <v>5</v>
      </c>
      <c r="Z18">
        <f t="shared" si="4"/>
        <v>74</v>
      </c>
      <c r="AA18">
        <f t="shared" si="3"/>
        <v>74</v>
      </c>
      <c r="AB18">
        <f t="shared" si="3"/>
        <v>74</v>
      </c>
      <c r="AC18">
        <f t="shared" si="3"/>
        <v>74</v>
      </c>
      <c r="AD18">
        <f t="shared" si="3"/>
        <v>74</v>
      </c>
      <c r="AE18">
        <f t="shared" si="3"/>
        <v>74</v>
      </c>
      <c r="AF18">
        <f t="shared" si="3"/>
        <v>74</v>
      </c>
      <c r="AG18">
        <f t="shared" si="3"/>
        <v>74</v>
      </c>
      <c r="AH18">
        <f t="shared" si="3"/>
        <v>74</v>
      </c>
      <c r="AI18">
        <f t="shared" si="3"/>
        <v>74</v>
      </c>
      <c r="AJ18" t="s">
        <v>25</v>
      </c>
      <c r="AK18">
        <f>SUM($C$9:C18)</f>
        <v>0</v>
      </c>
      <c r="AL18">
        <f>SUM($F$9:F18)</f>
        <v>0</v>
      </c>
      <c r="AM18">
        <f>SUM($I$9:I18)</f>
        <v>0</v>
      </c>
      <c r="AN18">
        <f>SUM($L$9:L18)</f>
        <v>0</v>
      </c>
    </row>
    <row r="19" spans="2:40" ht="12" customHeight="1" x14ac:dyDescent="0.25">
      <c r="B19" s="23"/>
      <c r="C19" s="24" t="str">
        <f t="shared" si="5"/>
        <v/>
      </c>
      <c r="D19" s="15"/>
      <c r="E19" s="23"/>
      <c r="F19" s="24" t="str">
        <f t="shared" si="6"/>
        <v/>
      </c>
      <c r="G19" s="15"/>
      <c r="H19" s="23"/>
      <c r="I19" s="24" t="str">
        <f t="shared" si="7"/>
        <v/>
      </c>
      <c r="J19" s="15"/>
      <c r="K19" s="23"/>
      <c r="L19" s="24" t="str">
        <f t="shared" si="8"/>
        <v/>
      </c>
      <c r="AK19">
        <f>SUM($C$9:C19)</f>
        <v>0</v>
      </c>
      <c r="AL19">
        <f>SUM($F$9:F19)</f>
        <v>0</v>
      </c>
      <c r="AM19">
        <f>SUM($I$9:I19)</f>
        <v>0</v>
      </c>
      <c r="AN19">
        <f>SUM($L$9:L19)</f>
        <v>0</v>
      </c>
    </row>
    <row r="20" spans="2:40" ht="12" customHeight="1" x14ac:dyDescent="0.25">
      <c r="B20" s="23"/>
      <c r="C20" s="24" t="str">
        <f t="shared" si="5"/>
        <v/>
      </c>
      <c r="D20" s="15"/>
      <c r="E20" s="23"/>
      <c r="F20" s="24" t="str">
        <f t="shared" si="6"/>
        <v/>
      </c>
      <c r="G20" s="15"/>
      <c r="H20" s="23"/>
      <c r="I20" s="24" t="str">
        <f t="shared" si="7"/>
        <v/>
      </c>
      <c r="J20" s="15"/>
      <c r="K20" s="23"/>
      <c r="L20" s="24" t="str">
        <f t="shared" si="8"/>
        <v/>
      </c>
      <c r="N20" t="s">
        <v>2</v>
      </c>
      <c r="O20">
        <f>SUM(O21:O25)</f>
        <v>42</v>
      </c>
      <c r="P20">
        <f t="shared" ref="P20:X20" si="9">SUM(P21:P25)</f>
        <v>42</v>
      </c>
      <c r="Q20">
        <f t="shared" si="9"/>
        <v>42</v>
      </c>
      <c r="R20">
        <f t="shared" si="9"/>
        <v>42</v>
      </c>
      <c r="S20">
        <f t="shared" si="9"/>
        <v>42</v>
      </c>
      <c r="T20">
        <f t="shared" si="9"/>
        <v>42</v>
      </c>
      <c r="U20">
        <f t="shared" si="9"/>
        <v>42</v>
      </c>
      <c r="V20">
        <f t="shared" si="9"/>
        <v>42</v>
      </c>
      <c r="W20">
        <f t="shared" si="9"/>
        <v>42</v>
      </c>
      <c r="X20">
        <f t="shared" si="9"/>
        <v>42</v>
      </c>
      <c r="Z20">
        <f>O20</f>
        <v>42</v>
      </c>
      <c r="AA20">
        <f t="shared" ref="AA20:AI20" si="10">P20</f>
        <v>42</v>
      </c>
      <c r="AB20">
        <f t="shared" si="10"/>
        <v>42</v>
      </c>
      <c r="AC20">
        <f t="shared" si="10"/>
        <v>42</v>
      </c>
      <c r="AD20">
        <f t="shared" si="10"/>
        <v>42</v>
      </c>
      <c r="AE20">
        <f t="shared" si="10"/>
        <v>42</v>
      </c>
      <c r="AF20">
        <f t="shared" si="10"/>
        <v>42</v>
      </c>
      <c r="AG20">
        <f t="shared" si="10"/>
        <v>42</v>
      </c>
      <c r="AH20">
        <f t="shared" si="10"/>
        <v>42</v>
      </c>
      <c r="AI20">
        <f t="shared" si="10"/>
        <v>42</v>
      </c>
      <c r="AJ20" t="s">
        <v>2</v>
      </c>
      <c r="AK20">
        <f>SUM($C$9:C20)</f>
        <v>0</v>
      </c>
      <c r="AL20">
        <f>SUM($F$9:F20)</f>
        <v>0</v>
      </c>
      <c r="AM20">
        <f>SUM($I$9:I20)</f>
        <v>0</v>
      </c>
      <c r="AN20">
        <f>SUM($L$9:L20)</f>
        <v>0</v>
      </c>
    </row>
    <row r="21" spans="2:40" ht="12" customHeight="1" x14ac:dyDescent="0.25">
      <c r="B21" s="23"/>
      <c r="C21" s="24" t="str">
        <f t="shared" si="5"/>
        <v/>
      </c>
      <c r="D21" s="15"/>
      <c r="E21" s="23"/>
      <c r="F21" s="24" t="str">
        <f t="shared" si="6"/>
        <v/>
      </c>
      <c r="G21" s="15"/>
      <c r="H21" s="23"/>
      <c r="I21" s="24" t="str">
        <f t="shared" si="7"/>
        <v/>
      </c>
      <c r="J21" s="15"/>
      <c r="K21" s="23"/>
      <c r="L21" s="24" t="str">
        <f t="shared" si="8"/>
        <v/>
      </c>
      <c r="N21" t="s">
        <v>26</v>
      </c>
      <c r="O21">
        <v>9</v>
      </c>
      <c r="P21">
        <f t="shared" ref="P21:X25" si="11">O21-IF(C$3=$N21,1,0)</f>
        <v>9</v>
      </c>
      <c r="Q21">
        <f t="shared" si="11"/>
        <v>9</v>
      </c>
      <c r="R21">
        <f t="shared" si="11"/>
        <v>9</v>
      </c>
      <c r="S21">
        <f t="shared" si="11"/>
        <v>9</v>
      </c>
      <c r="T21">
        <f t="shared" si="11"/>
        <v>9</v>
      </c>
      <c r="U21">
        <f t="shared" si="11"/>
        <v>9</v>
      </c>
      <c r="V21">
        <f t="shared" si="11"/>
        <v>9</v>
      </c>
      <c r="W21">
        <f t="shared" si="11"/>
        <v>9</v>
      </c>
      <c r="X21">
        <f t="shared" si="11"/>
        <v>9</v>
      </c>
      <c r="Z21">
        <v>1</v>
      </c>
      <c r="AA21">
        <v>1</v>
      </c>
      <c r="AB21">
        <v>1</v>
      </c>
      <c r="AC21">
        <v>1</v>
      </c>
      <c r="AD21">
        <v>1</v>
      </c>
      <c r="AE21">
        <v>1</v>
      </c>
      <c r="AF21">
        <v>1</v>
      </c>
      <c r="AG21">
        <v>1</v>
      </c>
      <c r="AH21">
        <v>1</v>
      </c>
      <c r="AI21">
        <v>1</v>
      </c>
      <c r="AJ21" t="s">
        <v>26</v>
      </c>
      <c r="AK21">
        <f>SUM($C$9:C21)</f>
        <v>0</v>
      </c>
      <c r="AL21">
        <f>SUM($F$9:F21)</f>
        <v>0</v>
      </c>
      <c r="AM21">
        <f>SUM($I$9:I21)</f>
        <v>0</v>
      </c>
      <c r="AN21">
        <f>SUM($L$9:L21)</f>
        <v>0</v>
      </c>
    </row>
    <row r="22" spans="2:40" ht="12" customHeight="1" x14ac:dyDescent="0.25">
      <c r="B22" s="23"/>
      <c r="C22" s="24" t="str">
        <f t="shared" si="5"/>
        <v/>
      </c>
      <c r="D22" s="15"/>
      <c r="E22" s="23"/>
      <c r="F22" s="24" t="str">
        <f t="shared" si="6"/>
        <v/>
      </c>
      <c r="G22" s="15"/>
      <c r="H22" s="23"/>
      <c r="I22" s="24" t="str">
        <f t="shared" si="7"/>
        <v/>
      </c>
      <c r="J22" s="15"/>
      <c r="K22" s="23"/>
      <c r="L22" s="24" t="str">
        <f t="shared" si="8"/>
        <v/>
      </c>
      <c r="N22" t="s">
        <v>27</v>
      </c>
      <c r="O22">
        <v>9</v>
      </c>
      <c r="P22">
        <f t="shared" si="11"/>
        <v>9</v>
      </c>
      <c r="Q22">
        <f t="shared" si="11"/>
        <v>9</v>
      </c>
      <c r="R22">
        <f t="shared" si="11"/>
        <v>9</v>
      </c>
      <c r="S22">
        <f t="shared" si="11"/>
        <v>9</v>
      </c>
      <c r="T22">
        <f t="shared" si="11"/>
        <v>9</v>
      </c>
      <c r="U22">
        <f t="shared" si="11"/>
        <v>9</v>
      </c>
      <c r="V22">
        <f t="shared" si="11"/>
        <v>9</v>
      </c>
      <c r="W22">
        <f t="shared" si="11"/>
        <v>9</v>
      </c>
      <c r="X22">
        <f t="shared" si="11"/>
        <v>9</v>
      </c>
      <c r="Z22">
        <f>O21+Z21</f>
        <v>10</v>
      </c>
      <c r="AA22">
        <f t="shared" ref="AA22:AI25" si="12">P21+AA21</f>
        <v>10</v>
      </c>
      <c r="AB22">
        <f t="shared" si="12"/>
        <v>10</v>
      </c>
      <c r="AC22">
        <f t="shared" si="12"/>
        <v>10</v>
      </c>
      <c r="AD22">
        <f t="shared" si="12"/>
        <v>10</v>
      </c>
      <c r="AE22">
        <f t="shared" si="12"/>
        <v>10</v>
      </c>
      <c r="AF22">
        <f t="shared" si="12"/>
        <v>10</v>
      </c>
      <c r="AG22">
        <f t="shared" si="12"/>
        <v>10</v>
      </c>
      <c r="AH22">
        <f t="shared" si="12"/>
        <v>10</v>
      </c>
      <c r="AI22">
        <f t="shared" si="12"/>
        <v>10</v>
      </c>
      <c r="AJ22" t="s">
        <v>27</v>
      </c>
      <c r="AK22">
        <f>SUM($C$9:C22)</f>
        <v>0</v>
      </c>
      <c r="AL22">
        <f>SUM($F$9:F22)</f>
        <v>0</v>
      </c>
      <c r="AM22">
        <f>SUM($I$9:I22)</f>
        <v>0</v>
      </c>
      <c r="AN22">
        <f>SUM($L$9:L22)</f>
        <v>0</v>
      </c>
    </row>
    <row r="23" spans="2:40" ht="12" customHeight="1" x14ac:dyDescent="0.25">
      <c r="B23" s="23"/>
      <c r="C23" s="24" t="str">
        <f t="shared" si="5"/>
        <v/>
      </c>
      <c r="D23" s="15"/>
      <c r="E23" s="23"/>
      <c r="F23" s="24" t="str">
        <f t="shared" si="6"/>
        <v/>
      </c>
      <c r="G23" s="15"/>
      <c r="H23" s="23"/>
      <c r="I23" s="24" t="str">
        <f t="shared" si="7"/>
        <v/>
      </c>
      <c r="J23" s="15"/>
      <c r="K23" s="23"/>
      <c r="L23" s="24" t="str">
        <f t="shared" si="8"/>
        <v/>
      </c>
      <c r="N23" t="s">
        <v>28</v>
      </c>
      <c r="O23">
        <v>12</v>
      </c>
      <c r="P23">
        <f t="shared" si="11"/>
        <v>12</v>
      </c>
      <c r="Q23">
        <f t="shared" si="11"/>
        <v>12</v>
      </c>
      <c r="R23">
        <f t="shared" si="11"/>
        <v>12</v>
      </c>
      <c r="S23">
        <f t="shared" si="11"/>
        <v>12</v>
      </c>
      <c r="T23">
        <f t="shared" si="11"/>
        <v>12</v>
      </c>
      <c r="U23">
        <f t="shared" si="11"/>
        <v>12</v>
      </c>
      <c r="V23">
        <f t="shared" si="11"/>
        <v>12</v>
      </c>
      <c r="W23">
        <f t="shared" si="11"/>
        <v>12</v>
      </c>
      <c r="X23">
        <f t="shared" si="11"/>
        <v>12</v>
      </c>
      <c r="Z23">
        <f t="shared" ref="Z23:Z25" si="13">O22+Z22</f>
        <v>19</v>
      </c>
      <c r="AA23">
        <f t="shared" si="12"/>
        <v>19</v>
      </c>
      <c r="AB23">
        <f t="shared" si="12"/>
        <v>19</v>
      </c>
      <c r="AC23">
        <f t="shared" si="12"/>
        <v>19</v>
      </c>
      <c r="AD23">
        <f t="shared" si="12"/>
        <v>19</v>
      </c>
      <c r="AE23">
        <f t="shared" si="12"/>
        <v>19</v>
      </c>
      <c r="AF23">
        <f t="shared" si="12"/>
        <v>19</v>
      </c>
      <c r="AG23">
        <f t="shared" si="12"/>
        <v>19</v>
      </c>
      <c r="AH23">
        <f t="shared" si="12"/>
        <v>19</v>
      </c>
      <c r="AI23">
        <f t="shared" si="12"/>
        <v>19</v>
      </c>
      <c r="AJ23" t="s">
        <v>28</v>
      </c>
      <c r="AK23">
        <f>SUM($C$9:C23)</f>
        <v>0</v>
      </c>
      <c r="AL23">
        <f>SUM($F$9:F23)</f>
        <v>0</v>
      </c>
      <c r="AM23">
        <f>SUM($I$9:I23)</f>
        <v>0</v>
      </c>
      <c r="AN23">
        <f>SUM($L$9:L23)</f>
        <v>0</v>
      </c>
    </row>
    <row r="24" spans="2:40" ht="12" customHeight="1" x14ac:dyDescent="0.25">
      <c r="B24" s="23"/>
      <c r="C24" s="24" t="str">
        <f t="shared" si="5"/>
        <v/>
      </c>
      <c r="D24" s="15"/>
      <c r="E24" s="23"/>
      <c r="F24" s="24" t="str">
        <f t="shared" si="6"/>
        <v/>
      </c>
      <c r="G24" s="15"/>
      <c r="H24" s="23"/>
      <c r="I24" s="24" t="str">
        <f t="shared" si="7"/>
        <v/>
      </c>
      <c r="J24" s="15"/>
      <c r="K24" s="23"/>
      <c r="L24" s="24" t="str">
        <f t="shared" si="8"/>
        <v/>
      </c>
      <c r="N24" t="s">
        <v>29</v>
      </c>
      <c r="O24">
        <v>8</v>
      </c>
      <c r="P24">
        <f t="shared" si="11"/>
        <v>8</v>
      </c>
      <c r="Q24">
        <f t="shared" si="11"/>
        <v>8</v>
      </c>
      <c r="R24">
        <f t="shared" si="11"/>
        <v>8</v>
      </c>
      <c r="S24">
        <f t="shared" si="11"/>
        <v>8</v>
      </c>
      <c r="T24">
        <f t="shared" si="11"/>
        <v>8</v>
      </c>
      <c r="U24">
        <f t="shared" si="11"/>
        <v>8</v>
      </c>
      <c r="V24">
        <f t="shared" si="11"/>
        <v>8</v>
      </c>
      <c r="W24">
        <f t="shared" si="11"/>
        <v>8</v>
      </c>
      <c r="X24">
        <f t="shared" si="11"/>
        <v>8</v>
      </c>
      <c r="Z24">
        <f t="shared" si="13"/>
        <v>31</v>
      </c>
      <c r="AA24">
        <f t="shared" si="12"/>
        <v>31</v>
      </c>
      <c r="AB24">
        <f t="shared" si="12"/>
        <v>31</v>
      </c>
      <c r="AC24">
        <f t="shared" si="12"/>
        <v>31</v>
      </c>
      <c r="AD24">
        <f t="shared" si="12"/>
        <v>31</v>
      </c>
      <c r="AE24">
        <f t="shared" si="12"/>
        <v>31</v>
      </c>
      <c r="AF24">
        <f t="shared" si="12"/>
        <v>31</v>
      </c>
      <c r="AG24">
        <f t="shared" si="12"/>
        <v>31</v>
      </c>
      <c r="AH24">
        <f t="shared" si="12"/>
        <v>31</v>
      </c>
      <c r="AI24">
        <f t="shared" si="12"/>
        <v>31</v>
      </c>
      <c r="AJ24" t="s">
        <v>29</v>
      </c>
      <c r="AK24">
        <f>SUM($C$9:C24)</f>
        <v>0</v>
      </c>
      <c r="AL24">
        <f>SUM($F$9:F24)</f>
        <v>0</v>
      </c>
      <c r="AM24">
        <f>SUM($I$9:I24)</f>
        <v>0</v>
      </c>
      <c r="AN24">
        <f>SUM($L$9:L24)</f>
        <v>0</v>
      </c>
    </row>
    <row r="25" spans="2:40" ht="12" customHeight="1" x14ac:dyDescent="0.25">
      <c r="B25" s="23"/>
      <c r="C25" s="24" t="str">
        <f t="shared" si="5"/>
        <v/>
      </c>
      <c r="D25" s="15"/>
      <c r="E25" s="23"/>
      <c r="F25" s="24" t="str">
        <f t="shared" si="6"/>
        <v/>
      </c>
      <c r="G25" s="15"/>
      <c r="H25" s="23"/>
      <c r="I25" s="24" t="str">
        <f t="shared" si="7"/>
        <v/>
      </c>
      <c r="J25" s="15"/>
      <c r="K25" s="23"/>
      <c r="L25" s="24" t="str">
        <f t="shared" si="8"/>
        <v/>
      </c>
      <c r="N25" t="s">
        <v>30</v>
      </c>
      <c r="O25">
        <v>4</v>
      </c>
      <c r="P25">
        <f t="shared" si="11"/>
        <v>4</v>
      </c>
      <c r="Q25">
        <f t="shared" si="11"/>
        <v>4</v>
      </c>
      <c r="R25">
        <f t="shared" si="11"/>
        <v>4</v>
      </c>
      <c r="S25">
        <f t="shared" si="11"/>
        <v>4</v>
      </c>
      <c r="T25">
        <f t="shared" si="11"/>
        <v>4</v>
      </c>
      <c r="U25">
        <f t="shared" si="11"/>
        <v>4</v>
      </c>
      <c r="V25">
        <f t="shared" si="11"/>
        <v>4</v>
      </c>
      <c r="W25">
        <f t="shared" si="11"/>
        <v>4</v>
      </c>
      <c r="X25">
        <f t="shared" si="11"/>
        <v>4</v>
      </c>
      <c r="Z25">
        <f t="shared" si="13"/>
        <v>39</v>
      </c>
      <c r="AA25">
        <f t="shared" si="12"/>
        <v>39</v>
      </c>
      <c r="AB25">
        <f t="shared" si="12"/>
        <v>39</v>
      </c>
      <c r="AC25">
        <f t="shared" si="12"/>
        <v>39</v>
      </c>
      <c r="AD25">
        <f t="shared" si="12"/>
        <v>39</v>
      </c>
      <c r="AE25">
        <f t="shared" si="12"/>
        <v>39</v>
      </c>
      <c r="AF25">
        <f t="shared" si="12"/>
        <v>39</v>
      </c>
      <c r="AG25">
        <f t="shared" si="12"/>
        <v>39</v>
      </c>
      <c r="AH25">
        <f t="shared" si="12"/>
        <v>39</v>
      </c>
      <c r="AI25">
        <f t="shared" si="12"/>
        <v>39</v>
      </c>
      <c r="AJ25" t="s">
        <v>30</v>
      </c>
      <c r="AK25">
        <f>SUM($C$9:C25)</f>
        <v>0</v>
      </c>
      <c r="AL25">
        <f>SUM($F$9:F25)</f>
        <v>0</v>
      </c>
      <c r="AM25">
        <f>SUM($I$9:I25)</f>
        <v>0</v>
      </c>
      <c r="AN25">
        <f>SUM($L$9:L25)</f>
        <v>0</v>
      </c>
    </row>
    <row r="26" spans="2:40" ht="12" customHeight="1" x14ac:dyDescent="0.25">
      <c r="B26" s="23"/>
      <c r="C26" s="24" t="str">
        <f t="shared" si="5"/>
        <v/>
      </c>
      <c r="D26" s="15"/>
      <c r="E26" s="23"/>
      <c r="F26" s="24" t="str">
        <f t="shared" si="6"/>
        <v/>
      </c>
      <c r="G26" s="15"/>
      <c r="H26" s="23"/>
      <c r="I26" s="24" t="str">
        <f t="shared" si="7"/>
        <v/>
      </c>
      <c r="J26" s="15"/>
      <c r="K26" s="23"/>
      <c r="L26" s="24" t="str">
        <f t="shared" si="8"/>
        <v/>
      </c>
      <c r="AK26">
        <f>SUM($C$9:C26)</f>
        <v>0</v>
      </c>
      <c r="AL26">
        <f>SUM($F$9:F26)</f>
        <v>0</v>
      </c>
      <c r="AM26">
        <f>SUM($I$9:I26)</f>
        <v>0</v>
      </c>
      <c r="AN26">
        <f>SUM($L$9:L26)</f>
        <v>0</v>
      </c>
    </row>
    <row r="27" spans="2:40" ht="12" customHeight="1" thickBot="1" x14ac:dyDescent="0.3">
      <c r="B27" s="25"/>
      <c r="C27" s="26" t="str">
        <f t="shared" si="5"/>
        <v/>
      </c>
      <c r="D27" s="15"/>
      <c r="E27" s="25"/>
      <c r="F27" s="26" t="str">
        <f t="shared" si="6"/>
        <v/>
      </c>
      <c r="G27" s="15"/>
      <c r="H27" s="25"/>
      <c r="I27" s="26" t="str">
        <f t="shared" si="7"/>
        <v/>
      </c>
      <c r="J27" s="15"/>
      <c r="K27" s="25"/>
      <c r="L27" s="26" t="str">
        <f t="shared" si="8"/>
        <v/>
      </c>
      <c r="N27" t="s">
        <v>13</v>
      </c>
      <c r="O27">
        <f>MAXA(O28:O31)</f>
        <v>0</v>
      </c>
      <c r="P27">
        <f>MAXA(P28:P31)</f>
        <v>0</v>
      </c>
      <c r="Q27">
        <f>MAXA(Q28:Q31)</f>
        <v>0</v>
      </c>
      <c r="R27">
        <f>MAXA(R28:R31)</f>
        <v>0</v>
      </c>
      <c r="AK27">
        <f>SUM($C$9:C27)</f>
        <v>0</v>
      </c>
      <c r="AL27">
        <f>SUM($F$9:F27)</f>
        <v>0</v>
      </c>
      <c r="AM27">
        <f>SUM($I$9:I27)</f>
        <v>0</v>
      </c>
      <c r="AN27">
        <f>SUM($L$9:L27)</f>
        <v>0</v>
      </c>
    </row>
    <row r="28" spans="2:40" x14ac:dyDescent="0.25">
      <c r="N28" t="str">
        <f>B6</f>
        <v>P1</v>
      </c>
      <c r="O28">
        <f>B8</f>
        <v>0</v>
      </c>
      <c r="P28" t="str">
        <f>IF(O28=O$27,"",O28)</f>
        <v/>
      </c>
      <c r="Q28" t="str">
        <f>IF(P28=P$27,"",P28)</f>
        <v/>
      </c>
      <c r="R28" t="str">
        <f>IF(Q28=Q$27,"",Q28)</f>
        <v/>
      </c>
      <c r="S28" t="str">
        <f>N28</f>
        <v>P1</v>
      </c>
      <c r="T28">
        <f>COUNT(O28:R28)</f>
        <v>1</v>
      </c>
    </row>
    <row r="29" spans="2:40" x14ac:dyDescent="0.25">
      <c r="N29" t="str">
        <f>E6</f>
        <v>P2</v>
      </c>
      <c r="O29">
        <f>E8</f>
        <v>0</v>
      </c>
      <c r="P29" t="str">
        <f t="shared" ref="P29:R31" si="14">IF(O29=O$27,"",O29)</f>
        <v/>
      </c>
      <c r="Q29" t="str">
        <f t="shared" si="14"/>
        <v/>
      </c>
      <c r="R29" t="str">
        <f t="shared" si="14"/>
        <v/>
      </c>
      <c r="S29" t="str">
        <f t="shared" ref="S29:S31" si="15">N29</f>
        <v>P2</v>
      </c>
      <c r="T29">
        <f>COUNT(O29:R29)</f>
        <v>1</v>
      </c>
    </row>
    <row r="30" spans="2:40" x14ac:dyDescent="0.25">
      <c r="N30" t="str">
        <f>H6</f>
        <v>P3</v>
      </c>
      <c r="O30">
        <f>H8</f>
        <v>0</v>
      </c>
      <c r="P30" t="str">
        <f t="shared" si="14"/>
        <v/>
      </c>
      <c r="Q30" t="str">
        <f t="shared" si="14"/>
        <v/>
      </c>
      <c r="R30" t="str">
        <f t="shared" si="14"/>
        <v/>
      </c>
      <c r="S30" t="str">
        <f t="shared" si="15"/>
        <v>P3</v>
      </c>
      <c r="T30">
        <f>COUNT(O30:R30)</f>
        <v>1</v>
      </c>
    </row>
    <row r="31" spans="2:40" x14ac:dyDescent="0.25">
      <c r="N31" t="str">
        <f>K6</f>
        <v>P4</v>
      </c>
      <c r="O31">
        <f>K8</f>
        <v>0</v>
      </c>
      <c r="P31" t="str">
        <f t="shared" si="14"/>
        <v/>
      </c>
      <c r="Q31" t="str">
        <f t="shared" si="14"/>
        <v/>
      </c>
      <c r="R31" t="str">
        <f t="shared" si="14"/>
        <v/>
      </c>
      <c r="S31" t="str">
        <f t="shared" si="15"/>
        <v>P4</v>
      </c>
      <c r="T31">
        <f>COUNT(O31:R31)</f>
        <v>1</v>
      </c>
    </row>
  </sheetData>
  <sheetProtection algorithmName="SHA-512" hashValue="5jxtSfHvMy+lWAAZLGWcsxt5Bw+qHE8VpsgYgU92cJxmiLaYMa6G5GRj/l92/y94vhykXE/95IOkEdyGfkCPVw==" saltValue="hly0usxDxBpuQXHRoX8mWw==" spinCount="100000" sheet="1" objects="1" scenarios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32C10-7D5C-4ADB-8FF2-8C39287CB1BA}">
  <sheetPr codeName="Foglio2">
    <tabColor rgb="FF7030A0"/>
  </sheetPr>
  <dimension ref="B1:C4"/>
  <sheetViews>
    <sheetView workbookViewId="0">
      <selection activeCell="C5" sqref="C5"/>
    </sheetView>
  </sheetViews>
  <sheetFormatPr defaultRowHeight="15" x14ac:dyDescent="0.25"/>
  <cols>
    <col min="2" max="2" width="38.28515625" customWidth="1"/>
    <col min="3" max="3" width="54.5703125" customWidth="1"/>
  </cols>
  <sheetData>
    <row r="1" spans="2:3" ht="15.75" thickBot="1" x14ac:dyDescent="0.3"/>
    <row r="2" spans="2:3" ht="60.75" customHeight="1" x14ac:dyDescent="0.7">
      <c r="B2" s="27" t="s">
        <v>31</v>
      </c>
      <c r="C2" s="28" t="s">
        <v>32</v>
      </c>
    </row>
    <row r="3" spans="2:3" x14ac:dyDescent="0.25">
      <c r="B3" s="29"/>
      <c r="C3" s="30"/>
    </row>
    <row r="4" spans="2:3" ht="91.5" customHeight="1" thickBot="1" x14ac:dyDescent="0.3">
      <c r="B4" s="31" t="s">
        <v>33</v>
      </c>
      <c r="C4" s="32" t="s">
        <v>38</v>
      </c>
    </row>
  </sheetData>
  <sheetProtection algorithmName="SHA-512" hashValue="HERWyTxv5svbXmUKSud3HiRo1ghxV93j7hvFXCVv/9JAkY4KMpBQXjBMQxI5joGh+SSZnlL3Rg7B0wg71oGajg==" saltValue="XPQIZp4vyI7Qg6lpSphM1w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2</vt:i4>
      </vt:variant>
    </vt:vector>
  </HeadingPairs>
  <TitlesOfParts>
    <vt:vector size="2" baseType="lpstr">
      <vt:lpstr>Paroliamo</vt:lpstr>
      <vt:lpstr>About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Marconcini</dc:creator>
  <cp:lastModifiedBy>Paolo Marconcini</cp:lastModifiedBy>
  <dcterms:created xsi:type="dcterms:W3CDTF">2021-12-04T18:46:42Z</dcterms:created>
  <dcterms:modified xsi:type="dcterms:W3CDTF">2023-09-20T16:18:56Z</dcterms:modified>
</cp:coreProperties>
</file>